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xtBook\Excel\Personal\"/>
    </mc:Choice>
  </mc:AlternateContent>
  <xr:revisionPtr revIDLastSave="0" documentId="13_ncr:1_{F7F4A372-5A52-4278-BAD1-5732D4033804}" xr6:coauthVersionLast="47" xr6:coauthVersionMax="47" xr10:uidLastSave="{00000000-0000-0000-0000-000000000000}"/>
  <bookViews>
    <workbookView xWindow="-120" yWindow="-120" windowWidth="29040" windowHeight="15720" xr2:uid="{52201A5F-A82E-42E8-9513-FFD5770777A6}"/>
  </bookViews>
  <sheets>
    <sheet name="Tata Steel" sheetId="1" r:id="rId1"/>
    <sheet name="Sales Growth" sheetId="2" r:id="rId2"/>
    <sheet name="Profit Margin" sheetId="3" r:id="rId3"/>
    <sheet name="Depreciation " sheetId="4" r:id="rId4"/>
    <sheet name="Interest" sheetId="5" r:id="rId5"/>
    <sheet name="Operation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B47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B53" i="1"/>
  <c r="C57" i="1"/>
  <c r="C59" i="1" s="1"/>
  <c r="D57" i="1"/>
  <c r="D59" i="1" s="1"/>
  <c r="E57" i="1"/>
  <c r="E59" i="1" s="1"/>
  <c r="F57" i="1"/>
  <c r="F59" i="1" s="1"/>
  <c r="G57" i="1"/>
  <c r="G59" i="1" s="1"/>
  <c r="H57" i="1"/>
  <c r="H59" i="1" s="1"/>
  <c r="I57" i="1"/>
  <c r="I59" i="1" s="1"/>
  <c r="J57" i="1"/>
  <c r="J59" i="1" s="1"/>
  <c r="K57" i="1"/>
  <c r="K59" i="1" s="1"/>
  <c r="L57" i="1"/>
  <c r="L59" i="1" s="1"/>
  <c r="M57" i="1"/>
  <c r="M59" i="1" s="1"/>
  <c r="N57" i="1"/>
  <c r="N59" i="1" s="1"/>
  <c r="O57" i="1"/>
  <c r="O59" i="1" s="1"/>
  <c r="P57" i="1"/>
  <c r="P59" i="1" s="1"/>
  <c r="Q57" i="1"/>
  <c r="Q59" i="1" s="1"/>
  <c r="R57" i="1"/>
  <c r="R59" i="1" s="1"/>
  <c r="S57" i="1"/>
  <c r="S59" i="1" s="1"/>
  <c r="T57" i="1"/>
  <c r="T59" i="1" s="1"/>
  <c r="U57" i="1"/>
  <c r="U59" i="1" s="1"/>
  <c r="V57" i="1"/>
  <c r="V59" i="1" s="1"/>
  <c r="W57" i="1"/>
  <c r="W59" i="1" s="1"/>
  <c r="X57" i="1"/>
  <c r="X59" i="1" s="1"/>
  <c r="Y57" i="1"/>
  <c r="Y59" i="1" s="1"/>
  <c r="Z57" i="1"/>
  <c r="Z59" i="1" s="1"/>
  <c r="AA57" i="1"/>
  <c r="AA59" i="1" s="1"/>
  <c r="AB57" i="1"/>
  <c r="AB59" i="1" s="1"/>
  <c r="AC57" i="1"/>
  <c r="AC59" i="1" s="1"/>
  <c r="AD57" i="1"/>
  <c r="AD59" i="1" s="1"/>
  <c r="AE57" i="1"/>
  <c r="AE59" i="1" s="1"/>
  <c r="AF57" i="1"/>
  <c r="AF59" i="1" s="1"/>
  <c r="AG57" i="1"/>
  <c r="AG59" i="1" s="1"/>
  <c r="AH57" i="1"/>
  <c r="AH59" i="1" s="1"/>
  <c r="AI57" i="1"/>
  <c r="AI59" i="1" s="1"/>
  <c r="AJ57" i="1"/>
  <c r="AJ59" i="1" s="1"/>
  <c r="AK57" i="1"/>
  <c r="AK59" i="1" s="1"/>
  <c r="AL57" i="1"/>
  <c r="AL59" i="1" s="1"/>
  <c r="AM57" i="1"/>
  <c r="AM59" i="1" s="1"/>
  <c r="AN57" i="1"/>
  <c r="AN59" i="1" s="1"/>
  <c r="AO57" i="1"/>
  <c r="AO59" i="1" s="1"/>
  <c r="AP57" i="1"/>
  <c r="AP59" i="1" s="1"/>
  <c r="AQ57" i="1"/>
  <c r="AQ59" i="1" s="1"/>
  <c r="AR57" i="1"/>
  <c r="AR59" i="1" s="1"/>
  <c r="AS57" i="1"/>
  <c r="AS59" i="1" s="1"/>
  <c r="AT57" i="1"/>
  <c r="AT59" i="1" s="1"/>
  <c r="AU57" i="1"/>
  <c r="AU59" i="1" s="1"/>
  <c r="AV57" i="1"/>
  <c r="AV59" i="1" s="1"/>
  <c r="B57" i="1"/>
  <c r="B59" i="1" s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B41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B35" i="1"/>
  <c r="AV35" i="1" l="1"/>
</calcChain>
</file>

<file path=xl/sharedStrings.xml><?xml version="1.0" encoding="utf-8"?>
<sst xmlns="http://schemas.openxmlformats.org/spreadsheetml/2006/main" count="708" uniqueCount="85">
  <si>
    <t>Quarterly Results of Tata Steel (in Rs. Cr.)</t>
  </si>
  <si>
    <t>Sep '24</t>
  </si>
  <si>
    <t>Jun '24</t>
  </si>
  <si>
    <t>Mar '24</t>
  </si>
  <si>
    <t>Dec '23</t>
  </si>
  <si>
    <t>Sep '23</t>
  </si>
  <si>
    <t>Net Sales/Income from operations</t>
  </si>
  <si>
    <t>Other Operating Income</t>
  </si>
  <si>
    <t>--</t>
  </si>
  <si>
    <t>Total Income From Operations</t>
  </si>
  <si>
    <t>EXPENDITURE</t>
  </si>
  <si>
    <t>Consumption of Raw Materials</t>
  </si>
  <si>
    <t>Purchase of Traded Goods</t>
  </si>
  <si>
    <t>Increase/Decrease in Stocks</t>
  </si>
  <si>
    <t>Power &amp; Fuel</t>
  </si>
  <si>
    <t>Employees Cost</t>
  </si>
  <si>
    <t>depreciat</t>
  </si>
  <si>
    <t>Excise Duty</t>
  </si>
  <si>
    <t>Admin. And Selling Expenses</t>
  </si>
  <si>
    <t>R &amp; D Expenses</t>
  </si>
  <si>
    <t>Provisions And Contingencies</t>
  </si>
  <si>
    <t>Exp. Capitalised</t>
  </si>
  <si>
    <t>Other Expenses</t>
  </si>
  <si>
    <t>P/L Before Other Inc. , Int., Excpt. Items &amp; Tax</t>
  </si>
  <si>
    <t>Other Income</t>
  </si>
  <si>
    <t>P/L Before Int., Excpt. Items &amp; Tax</t>
  </si>
  <si>
    <t>Interest</t>
  </si>
  <si>
    <t>P/L Before Exceptional Items &amp; Tax</t>
  </si>
  <si>
    <t>Exceptional Items</t>
  </si>
  <si>
    <t>P/L Before Tax</t>
  </si>
  <si>
    <t>Tax</t>
  </si>
  <si>
    <t>P/L After Tax from Ordinary Activities</t>
  </si>
  <si>
    <t>Prior Year Adjustments</t>
  </si>
  <si>
    <t>Extra Ordinary Items</t>
  </si>
  <si>
    <t>Net Profit/(Loss) For the Period</t>
  </si>
  <si>
    <t>Equity Share Capital</t>
  </si>
  <si>
    <t>Jun '23</t>
  </si>
  <si>
    <t>Mar '23</t>
  </si>
  <si>
    <t>Dec '22</t>
  </si>
  <si>
    <t>Sep '22</t>
  </si>
  <si>
    <t>Jun '22</t>
  </si>
  <si>
    <t>Mar '22</t>
  </si>
  <si>
    <t>Dec '21</t>
  </si>
  <si>
    <t>Sep '21</t>
  </si>
  <si>
    <t>Jun '21</t>
  </si>
  <si>
    <t>Mar '21</t>
  </si>
  <si>
    <t>Dec '20</t>
  </si>
  <si>
    <t>Sep '20</t>
  </si>
  <si>
    <t>Jun '20</t>
  </si>
  <si>
    <t>Mar '20</t>
  </si>
  <si>
    <t>Dec '19</t>
  </si>
  <si>
    <t>Sep '19</t>
  </si>
  <si>
    <t>Jun '19</t>
  </si>
  <si>
    <t>Mar '19</t>
  </si>
  <si>
    <t>Dec '18</t>
  </si>
  <si>
    <t>Sep '18</t>
  </si>
  <si>
    <t>Jun '18</t>
  </si>
  <si>
    <t>Mar '18</t>
  </si>
  <si>
    <t>Dec '17</t>
  </si>
  <si>
    <t>Sep '17</t>
  </si>
  <si>
    <t>Jun '17</t>
  </si>
  <si>
    <t>Mar '17</t>
  </si>
  <si>
    <t>Dec '16</t>
  </si>
  <si>
    <t>Sep '16</t>
  </si>
  <si>
    <t>Jun '16</t>
  </si>
  <si>
    <t>Mar '16</t>
  </si>
  <si>
    <t>Dec '15</t>
  </si>
  <si>
    <t>Sep '15</t>
  </si>
  <si>
    <t>Jun '15</t>
  </si>
  <si>
    <t>Mar '15</t>
  </si>
  <si>
    <t>Dec '14</t>
  </si>
  <si>
    <t>Sep '14</t>
  </si>
  <si>
    <t>Jun '14</t>
  </si>
  <si>
    <t>Mar '14</t>
  </si>
  <si>
    <t>Dec '13</t>
  </si>
  <si>
    <t>Sep '13</t>
  </si>
  <si>
    <t>Jun '13</t>
  </si>
  <si>
    <t>Mar '13</t>
  </si>
  <si>
    <t xml:space="preserve">Sales Growth % </t>
  </si>
  <si>
    <t>Profit Margin %</t>
  </si>
  <si>
    <t>Depreciation / Sales</t>
  </si>
  <si>
    <t>Interest / Sales</t>
  </si>
  <si>
    <t>Operational cost</t>
  </si>
  <si>
    <t>Operational cost / sales</t>
  </si>
  <si>
    <t xml:space="preserve">Depreciation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</si>
</sst>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8" tint="-0.499984740745262"/>
      <name val="Arial"/>
      <family val="2"/>
    </font>
    <font>
      <sz val="12"/>
      <color theme="8" tint="-0.499984740745262"/>
      <name val="Calibri"/>
      <family val="2"/>
      <scheme val="minor"/>
    </font>
    <font>
      <b/>
      <sz val="12"/>
      <color theme="7" tint="0.5999938962981048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DEE4E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/>
      <top style="medium">
        <color rgb="FFD1D1D1"/>
      </top>
      <bottom style="medium">
        <color rgb="FFE0E0E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right" vertical="top" wrapText="1"/>
    </xf>
    <xf numFmtId="0" fontId="3" fillId="6" borderId="0" xfId="0" applyFont="1" applyFill="1"/>
    <xf numFmtId="0" fontId="2" fillId="7" borderId="2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 vertical="top" wrapText="1"/>
    </xf>
    <xf numFmtId="0" fontId="6" fillId="0" borderId="0" xfId="0" applyFont="1"/>
    <xf numFmtId="0" fontId="2" fillId="0" borderId="2" xfId="0" applyFont="1" applyFill="1" applyBorder="1" applyAlignment="1">
      <alignment horizontal="left" vertical="top" wrapText="1"/>
    </xf>
    <xf numFmtId="0" fontId="0" fillId="0" borderId="0" xfId="0" applyFill="1"/>
    <xf numFmtId="4" fontId="2" fillId="0" borderId="1" xfId="0" applyNumberFormat="1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right" vertical="top" wrapText="1"/>
    </xf>
    <xf numFmtId="4" fontId="0" fillId="0" borderId="0" xfId="0" applyNumberFormat="1" applyFill="1"/>
    <xf numFmtId="0" fontId="7" fillId="8" borderId="3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0" fontId="0" fillId="6" borderId="0" xfId="1" applyNumberFormat="1" applyFont="1" applyFill="1"/>
    <xf numFmtId="164" fontId="0" fillId="6" borderId="0" xfId="0" applyNumberFormat="1" applyFill="1"/>
    <xf numFmtId="4" fontId="0" fillId="6" borderId="0" xfId="0" applyNumberFormat="1" applyFill="1"/>
    <xf numFmtId="0" fontId="3" fillId="0" borderId="0" xfId="0" applyFont="1" applyFill="1"/>
    <xf numFmtId="10" fontId="0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'Tata Steel'!$A$35</c:f>
              <c:strCache>
                <c:ptCount val="1"/>
                <c:pt idx="0">
                  <c:v>Sales Growth % </c:v>
                </c:pt>
              </c:strCache>
            </c:strRef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 cap="rnd" cmpd="sng">
                <a:solidFill>
                  <a:schemeClr val="accent2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'Tata Steel'!$B$33:$AV$33</c:f>
              <c:strCache>
                <c:ptCount val="47"/>
                <c:pt idx="0">
                  <c:v>Sep '24</c:v>
                </c:pt>
                <c:pt idx="1">
                  <c:v>Jun '24</c:v>
                </c:pt>
                <c:pt idx="2">
                  <c:v>Mar '24</c:v>
                </c:pt>
                <c:pt idx="3">
                  <c:v>Dec '23</c:v>
                </c:pt>
                <c:pt idx="4">
                  <c:v>Sep '23</c:v>
                </c:pt>
                <c:pt idx="5">
                  <c:v>Jun '23</c:v>
                </c:pt>
                <c:pt idx="6">
                  <c:v>Mar '23</c:v>
                </c:pt>
                <c:pt idx="7">
                  <c:v>Dec '22</c:v>
                </c:pt>
                <c:pt idx="8">
                  <c:v>Sep '22</c:v>
                </c:pt>
                <c:pt idx="9">
                  <c:v>Jun '22</c:v>
                </c:pt>
                <c:pt idx="10">
                  <c:v>Mar '22</c:v>
                </c:pt>
                <c:pt idx="11">
                  <c:v>Dec '21</c:v>
                </c:pt>
                <c:pt idx="12">
                  <c:v>Sep '21</c:v>
                </c:pt>
                <c:pt idx="13">
                  <c:v>Jun '21</c:v>
                </c:pt>
                <c:pt idx="14">
                  <c:v>Mar '21</c:v>
                </c:pt>
                <c:pt idx="15">
                  <c:v>Dec '20</c:v>
                </c:pt>
                <c:pt idx="16">
                  <c:v>Sep '20</c:v>
                </c:pt>
                <c:pt idx="17">
                  <c:v>Jun '20</c:v>
                </c:pt>
                <c:pt idx="18">
                  <c:v>Mar '20</c:v>
                </c:pt>
                <c:pt idx="19">
                  <c:v>Dec '19</c:v>
                </c:pt>
                <c:pt idx="20">
                  <c:v>Sep '19</c:v>
                </c:pt>
                <c:pt idx="21">
                  <c:v>Jun '19</c:v>
                </c:pt>
                <c:pt idx="22">
                  <c:v>Mar '19</c:v>
                </c:pt>
                <c:pt idx="23">
                  <c:v>Dec '18</c:v>
                </c:pt>
                <c:pt idx="24">
                  <c:v>Sep '18</c:v>
                </c:pt>
                <c:pt idx="25">
                  <c:v>Jun '18</c:v>
                </c:pt>
                <c:pt idx="26">
                  <c:v>Mar '18</c:v>
                </c:pt>
                <c:pt idx="27">
                  <c:v>Dec '17</c:v>
                </c:pt>
                <c:pt idx="28">
                  <c:v>Sep '17</c:v>
                </c:pt>
                <c:pt idx="29">
                  <c:v>Jun '17</c:v>
                </c:pt>
                <c:pt idx="30">
                  <c:v>Mar '17</c:v>
                </c:pt>
                <c:pt idx="31">
                  <c:v>Dec '16</c:v>
                </c:pt>
                <c:pt idx="32">
                  <c:v>Sep '16</c:v>
                </c:pt>
                <c:pt idx="33">
                  <c:v>Jun '16</c:v>
                </c:pt>
                <c:pt idx="34">
                  <c:v>Mar '16</c:v>
                </c:pt>
                <c:pt idx="35">
                  <c:v>Dec '15</c:v>
                </c:pt>
                <c:pt idx="36">
                  <c:v>Sep '15</c:v>
                </c:pt>
                <c:pt idx="37">
                  <c:v>Jun '15</c:v>
                </c:pt>
                <c:pt idx="38">
                  <c:v>Mar '15</c:v>
                </c:pt>
                <c:pt idx="39">
                  <c:v>Dec '14</c:v>
                </c:pt>
                <c:pt idx="40">
                  <c:v>Sep '14</c:v>
                </c:pt>
                <c:pt idx="41">
                  <c:v>Jun '14</c:v>
                </c:pt>
                <c:pt idx="42">
                  <c:v>Mar '14</c:v>
                </c:pt>
                <c:pt idx="43">
                  <c:v>Dec '13</c:v>
                </c:pt>
                <c:pt idx="44">
                  <c:v>Sep '13</c:v>
                </c:pt>
                <c:pt idx="45">
                  <c:v>Jun '13</c:v>
                </c:pt>
                <c:pt idx="46">
                  <c:v>Mar '13</c:v>
                </c:pt>
              </c:strCache>
            </c:strRef>
          </c:cat>
          <c:val>
            <c:numRef>
              <c:f>'Tata Steel'!$B$35:$AV$35</c:f>
              <c:numCache>
                <c:formatCode>0.00%</c:formatCode>
                <c:ptCount val="47"/>
                <c:pt idx="0">
                  <c:v>-1.6995927749254812E-2</c:v>
                </c:pt>
                <c:pt idx="1">
                  <c:v>-8.6144268144007885E-2</c:v>
                </c:pt>
                <c:pt idx="2">
                  <c:v>5.4609183131324394E-2</c:v>
                </c:pt>
                <c:pt idx="3">
                  <c:v>4.2856546050615556E-2</c:v>
                </c:pt>
                <c:pt idx="4">
                  <c:v>1.3974872007029874E-2</c:v>
                </c:pt>
                <c:pt idx="5">
                  <c:v>-4.3092697304905302E-2</c:v>
                </c:pt>
                <c:pt idx="6">
                  <c:v>0.10939597161228397</c:v>
                </c:pt>
                <c:pt idx="7">
                  <c:v>-4.3801118803245262E-2</c:v>
                </c:pt>
                <c:pt idx="8">
                  <c:v>-5.0048265065304898E-3</c:v>
                </c:pt>
                <c:pt idx="9">
                  <c:v>-0.12703712801174888</c:v>
                </c:pt>
                <c:pt idx="10">
                  <c:v>0.1475611034202273</c:v>
                </c:pt>
                <c:pt idx="11">
                  <c:v>-1.8967984735256335E-2</c:v>
                </c:pt>
                <c:pt idx="12">
                  <c:v>0.56658257329561867</c:v>
                </c:pt>
                <c:pt idx="13">
                  <c:v>-9.3237876193934081E-4</c:v>
                </c:pt>
                <c:pt idx="14">
                  <c:v>0.17817055688521441</c:v>
                </c:pt>
                <c:pt idx="15">
                  <c:v>7.9913922398144932E-2</c:v>
                </c:pt>
                <c:pt idx="16">
                  <c:v>0.75204684123622123</c:v>
                </c:pt>
                <c:pt idx="17">
                  <c:v>-0.34286838129590053</c:v>
                </c:pt>
                <c:pt idx="18">
                  <c:v>-4.0891954966275991E-2</c:v>
                </c:pt>
                <c:pt idx="19">
                  <c:v>2.2832166046092329E-2</c:v>
                </c:pt>
                <c:pt idx="20">
                  <c:v>-8.3867132535453984E-2</c:v>
                </c:pt>
                <c:pt idx="21">
                  <c:v>-0.14516757694181068</c:v>
                </c:pt>
                <c:pt idx="22">
                  <c:v>0.10825152385505664</c:v>
                </c:pt>
                <c:pt idx="23">
                  <c:v>-5.0542812042264469E-2</c:v>
                </c:pt>
                <c:pt idx="24">
                  <c:v>8.8238316437955933E-2</c:v>
                </c:pt>
                <c:pt idx="25">
                  <c:v>1.3051385283014071E-2</c:v>
                </c:pt>
                <c:pt idx="26">
                  <c:v>4.1558621392376469E-2</c:v>
                </c:pt>
                <c:pt idx="27">
                  <c:v>0.10061421846738688</c:v>
                </c:pt>
                <c:pt idx="28">
                  <c:v>8.3730210359756516E-2</c:v>
                </c:pt>
                <c:pt idx="29">
                  <c:v>-0.15657497539172821</c:v>
                </c:pt>
                <c:pt idx="30">
                  <c:v>0.21771060043528348</c:v>
                </c:pt>
                <c:pt idx="31">
                  <c:v>0.18768109675377681</c:v>
                </c:pt>
                <c:pt idx="32">
                  <c:v>0.16167047903345472</c:v>
                </c:pt>
                <c:pt idx="33">
                  <c:v>-0.133891409421</c:v>
                </c:pt>
                <c:pt idx="34">
                  <c:v>0.1680832290922086</c:v>
                </c:pt>
                <c:pt idx="35">
                  <c:v>-5.3825709741676782E-2</c:v>
                </c:pt>
                <c:pt idx="36">
                  <c:v>5.2985607748270241E-2</c:v>
                </c:pt>
                <c:pt idx="37">
                  <c:v>-0.14596091490000643</c:v>
                </c:pt>
                <c:pt idx="38">
                  <c:v>7.1479629761625904E-2</c:v>
                </c:pt>
                <c:pt idx="39">
                  <c:v>-8.2261624636248157E-2</c:v>
                </c:pt>
                <c:pt idx="40">
                  <c:v>3.1148430340739258E-2</c:v>
                </c:pt>
                <c:pt idx="41">
                  <c:v>-0.13819972230342009</c:v>
                </c:pt>
                <c:pt idx="42">
                  <c:v>0.1993502231491468</c:v>
                </c:pt>
                <c:pt idx="43">
                  <c:v>2.1821808578305412E-2</c:v>
                </c:pt>
                <c:pt idx="44">
                  <c:v>4.9444622450069503E-2</c:v>
                </c:pt>
                <c:pt idx="45">
                  <c:v>-0.11693803947606682</c:v>
                </c:pt>
                <c:pt idx="46">
                  <c:v>3.7647764251140414E-2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9-43C0-8AE9-03890E86F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010351"/>
        <c:axId val="751010767"/>
      </c:lineChart>
      <c:catAx>
        <c:axId val="75101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10767"/>
        <c:crosses val="autoZero"/>
        <c:auto val="1"/>
        <c:lblAlgn val="ctr"/>
        <c:lblOffset val="100"/>
        <c:noMultiLvlLbl val="0"/>
      </c:catAx>
      <c:valAx>
        <c:axId val="75101076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1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'Tata Steel'!$A$41</c:f>
              <c:strCache>
                <c:ptCount val="1"/>
                <c:pt idx="0">
                  <c:v>Profit Margin %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'Tata Steel'!$B$33:$AV$33</c:f>
              <c:strCache>
                <c:ptCount val="47"/>
                <c:pt idx="0">
                  <c:v>Sep '24</c:v>
                </c:pt>
                <c:pt idx="1">
                  <c:v>Jun '24</c:v>
                </c:pt>
                <c:pt idx="2">
                  <c:v>Mar '24</c:v>
                </c:pt>
                <c:pt idx="3">
                  <c:v>Dec '23</c:v>
                </c:pt>
                <c:pt idx="4">
                  <c:v>Sep '23</c:v>
                </c:pt>
                <c:pt idx="5">
                  <c:v>Jun '23</c:v>
                </c:pt>
                <c:pt idx="6">
                  <c:v>Mar '23</c:v>
                </c:pt>
                <c:pt idx="7">
                  <c:v>Dec '22</c:v>
                </c:pt>
                <c:pt idx="8">
                  <c:v>Sep '22</c:v>
                </c:pt>
                <c:pt idx="9">
                  <c:v>Jun '22</c:v>
                </c:pt>
                <c:pt idx="10">
                  <c:v>Mar '22</c:v>
                </c:pt>
                <c:pt idx="11">
                  <c:v>Dec '21</c:v>
                </c:pt>
                <c:pt idx="12">
                  <c:v>Sep '21</c:v>
                </c:pt>
                <c:pt idx="13">
                  <c:v>Jun '21</c:v>
                </c:pt>
                <c:pt idx="14">
                  <c:v>Mar '21</c:v>
                </c:pt>
                <c:pt idx="15">
                  <c:v>Dec '20</c:v>
                </c:pt>
                <c:pt idx="16">
                  <c:v>Sep '20</c:v>
                </c:pt>
                <c:pt idx="17">
                  <c:v>Jun '20</c:v>
                </c:pt>
                <c:pt idx="18">
                  <c:v>Mar '20</c:v>
                </c:pt>
                <c:pt idx="19">
                  <c:v>Dec '19</c:v>
                </c:pt>
                <c:pt idx="20">
                  <c:v>Sep '19</c:v>
                </c:pt>
                <c:pt idx="21">
                  <c:v>Jun '19</c:v>
                </c:pt>
                <c:pt idx="22">
                  <c:v>Mar '19</c:v>
                </c:pt>
                <c:pt idx="23">
                  <c:v>Dec '18</c:v>
                </c:pt>
                <c:pt idx="24">
                  <c:v>Sep '18</c:v>
                </c:pt>
                <c:pt idx="25">
                  <c:v>Jun '18</c:v>
                </c:pt>
                <c:pt idx="26">
                  <c:v>Mar '18</c:v>
                </c:pt>
                <c:pt idx="27">
                  <c:v>Dec '17</c:v>
                </c:pt>
                <c:pt idx="28">
                  <c:v>Sep '17</c:v>
                </c:pt>
                <c:pt idx="29">
                  <c:v>Jun '17</c:v>
                </c:pt>
                <c:pt idx="30">
                  <c:v>Mar '17</c:v>
                </c:pt>
                <c:pt idx="31">
                  <c:v>Dec '16</c:v>
                </c:pt>
                <c:pt idx="32">
                  <c:v>Sep '16</c:v>
                </c:pt>
                <c:pt idx="33">
                  <c:v>Jun '16</c:v>
                </c:pt>
                <c:pt idx="34">
                  <c:v>Mar '16</c:v>
                </c:pt>
                <c:pt idx="35">
                  <c:v>Dec '15</c:v>
                </c:pt>
                <c:pt idx="36">
                  <c:v>Sep '15</c:v>
                </c:pt>
                <c:pt idx="37">
                  <c:v>Jun '15</c:v>
                </c:pt>
                <c:pt idx="38">
                  <c:v>Mar '15</c:v>
                </c:pt>
                <c:pt idx="39">
                  <c:v>Dec '14</c:v>
                </c:pt>
                <c:pt idx="40">
                  <c:v>Sep '14</c:v>
                </c:pt>
                <c:pt idx="41">
                  <c:v>Jun '14</c:v>
                </c:pt>
                <c:pt idx="42">
                  <c:v>Mar '14</c:v>
                </c:pt>
                <c:pt idx="43">
                  <c:v>Dec '13</c:v>
                </c:pt>
                <c:pt idx="44">
                  <c:v>Sep '13</c:v>
                </c:pt>
                <c:pt idx="45">
                  <c:v>Jun '13</c:v>
                </c:pt>
                <c:pt idx="46">
                  <c:v>Mar '13</c:v>
                </c:pt>
              </c:strCache>
            </c:strRef>
          </c:cat>
          <c:val>
            <c:numRef>
              <c:f>'Tata Steel'!$B$41:$AV$41</c:f>
              <c:numCache>
                <c:formatCode>0.00%</c:formatCode>
                <c:ptCount val="47"/>
                <c:pt idx="0">
                  <c:v>0.11083480352153799</c:v>
                </c:pt>
                <c:pt idx="1">
                  <c:v>0.10100316568799557</c:v>
                </c:pt>
                <c:pt idx="2">
                  <c:v>0.11230060840240234</c:v>
                </c:pt>
                <c:pt idx="3">
                  <c:v>0.13605773968310778</c:v>
                </c:pt>
                <c:pt idx="4">
                  <c:v>-0.26013010469424058</c:v>
                </c:pt>
                <c:pt idx="5">
                  <c:v>0.13204966232365603</c:v>
                </c:pt>
                <c:pt idx="6">
                  <c:v>0.11896714812413846</c:v>
                </c:pt>
                <c:pt idx="7">
                  <c:v>8.8793837183233776E-2</c:v>
                </c:pt>
                <c:pt idx="8">
                  <c:v>8.3329593108528555E-2</c:v>
                </c:pt>
                <c:pt idx="9">
                  <c:v>0.19094196980802339</c:v>
                </c:pt>
                <c:pt idx="10">
                  <c:v>0.2137203173420085</c:v>
                </c:pt>
                <c:pt idx="11">
                  <c:v>0.24037448086534177</c:v>
                </c:pt>
                <c:pt idx="12">
                  <c:v>0.26726989862891687</c:v>
                </c:pt>
                <c:pt idx="13">
                  <c:v>0.32598994822175453</c:v>
                </c:pt>
                <c:pt idx="14">
                  <c:v>0.31672728809879275</c:v>
                </c:pt>
                <c:pt idx="15">
                  <c:v>0.20458608689648228</c:v>
                </c:pt>
                <c:pt idx="16">
                  <c:v>0.13475569582654423</c:v>
                </c:pt>
                <c:pt idx="17">
                  <c:v>0.12777579084205859</c:v>
                </c:pt>
                <c:pt idx="18">
                  <c:v>-3.073793418396319E-2</c:v>
                </c:pt>
                <c:pt idx="19">
                  <c:v>0.12173777479628596</c:v>
                </c:pt>
                <c:pt idx="20">
                  <c:v>0.26492174136338598</c:v>
                </c:pt>
                <c:pt idx="21">
                  <c:v>9.732589208075762E-2</c:v>
                </c:pt>
                <c:pt idx="22">
                  <c:v>0.13466756261599183</c:v>
                </c:pt>
                <c:pt idx="23">
                  <c:v>0.14714862065205539</c:v>
                </c:pt>
                <c:pt idx="24">
                  <c:v>0.18588774015557674</c:v>
                </c:pt>
                <c:pt idx="25">
                  <c:v>0.14350031446696612</c:v>
                </c:pt>
                <c:pt idx="26">
                  <c:v>6.4650512347769376E-2</c:v>
                </c:pt>
                <c:pt idx="27">
                  <c:v>8.7400081254400727E-2</c:v>
                </c:pt>
                <c:pt idx="28">
                  <c:v>9.3029943150285108E-2</c:v>
                </c:pt>
                <c:pt idx="29">
                  <c:v>3.945657517394939E-2</c:v>
                </c:pt>
                <c:pt idx="30">
                  <c:v>9.2976556103574221E-2</c:v>
                </c:pt>
                <c:pt idx="31">
                  <c:v>9.638650620919216E-2</c:v>
                </c:pt>
                <c:pt idx="32">
                  <c:v>2.3716369103337645E-2</c:v>
                </c:pt>
                <c:pt idx="33">
                  <c:v>6.3525585544211671E-2</c:v>
                </c:pt>
                <c:pt idx="34">
                  <c:v>4.9762156321861067E-2</c:v>
                </c:pt>
                <c:pt idx="35">
                  <c:v>3.3321792351679771E-2</c:v>
                </c:pt>
                <c:pt idx="36">
                  <c:v>-3.0485208101067848E-2</c:v>
                </c:pt>
                <c:pt idx="37">
                  <c:v>4.7329521808701217E-2</c:v>
                </c:pt>
                <c:pt idx="38">
                  <c:v>7.7365271964936685E-2</c:v>
                </c:pt>
                <c:pt idx="39">
                  <c:v>8.9671815654688555E-2</c:v>
                </c:pt>
                <c:pt idx="40">
                  <c:v>0.23141899153161671</c:v>
                </c:pt>
                <c:pt idx="41">
                  <c:v>0.21854297616145343</c:v>
                </c:pt>
                <c:pt idx="42">
                  <c:v>0.16431266774733597</c:v>
                </c:pt>
                <c:pt idx="43">
                  <c:v>0.1512663377943243</c:v>
                </c:pt>
                <c:pt idx="44">
                  <c:v>0.15862791892895853</c:v>
                </c:pt>
                <c:pt idx="45">
                  <c:v>0.14483712485314534</c:v>
                </c:pt>
                <c:pt idx="46">
                  <c:v>0.12347682893704354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1-411D-B49C-138BD3B2E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267343"/>
        <c:axId val="866273167"/>
      </c:lineChart>
      <c:catAx>
        <c:axId val="86626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273167"/>
        <c:crosses val="autoZero"/>
        <c:auto val="1"/>
        <c:lblAlgn val="ctr"/>
        <c:lblOffset val="100"/>
        <c:noMultiLvlLbl val="0"/>
      </c:catAx>
      <c:valAx>
        <c:axId val="86627316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26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'Tata Steel'!$A$47</c:f>
              <c:strCache>
                <c:ptCount val="1"/>
                <c:pt idx="0">
                  <c:v>Depreciation / Sales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'Tata Steel'!$B$33:$AV$33</c:f>
              <c:strCache>
                <c:ptCount val="47"/>
                <c:pt idx="0">
                  <c:v>Sep '24</c:v>
                </c:pt>
                <c:pt idx="1">
                  <c:v>Jun '24</c:v>
                </c:pt>
                <c:pt idx="2">
                  <c:v>Mar '24</c:v>
                </c:pt>
                <c:pt idx="3">
                  <c:v>Dec '23</c:v>
                </c:pt>
                <c:pt idx="4">
                  <c:v>Sep '23</c:v>
                </c:pt>
                <c:pt idx="5">
                  <c:v>Jun '23</c:v>
                </c:pt>
                <c:pt idx="6">
                  <c:v>Mar '23</c:v>
                </c:pt>
                <c:pt idx="7">
                  <c:v>Dec '22</c:v>
                </c:pt>
                <c:pt idx="8">
                  <c:v>Sep '22</c:v>
                </c:pt>
                <c:pt idx="9">
                  <c:v>Jun '22</c:v>
                </c:pt>
                <c:pt idx="10">
                  <c:v>Mar '22</c:v>
                </c:pt>
                <c:pt idx="11">
                  <c:v>Dec '21</c:v>
                </c:pt>
                <c:pt idx="12">
                  <c:v>Sep '21</c:v>
                </c:pt>
                <c:pt idx="13">
                  <c:v>Jun '21</c:v>
                </c:pt>
                <c:pt idx="14">
                  <c:v>Mar '21</c:v>
                </c:pt>
                <c:pt idx="15">
                  <c:v>Dec '20</c:v>
                </c:pt>
                <c:pt idx="16">
                  <c:v>Sep '20</c:v>
                </c:pt>
                <c:pt idx="17">
                  <c:v>Jun '20</c:v>
                </c:pt>
                <c:pt idx="18">
                  <c:v>Mar '20</c:v>
                </c:pt>
                <c:pt idx="19">
                  <c:v>Dec '19</c:v>
                </c:pt>
                <c:pt idx="20">
                  <c:v>Sep '19</c:v>
                </c:pt>
                <c:pt idx="21">
                  <c:v>Jun '19</c:v>
                </c:pt>
                <c:pt idx="22">
                  <c:v>Mar '19</c:v>
                </c:pt>
                <c:pt idx="23">
                  <c:v>Dec '18</c:v>
                </c:pt>
                <c:pt idx="24">
                  <c:v>Sep '18</c:v>
                </c:pt>
                <c:pt idx="25">
                  <c:v>Jun '18</c:v>
                </c:pt>
                <c:pt idx="26">
                  <c:v>Mar '18</c:v>
                </c:pt>
                <c:pt idx="27">
                  <c:v>Dec '17</c:v>
                </c:pt>
                <c:pt idx="28">
                  <c:v>Sep '17</c:v>
                </c:pt>
                <c:pt idx="29">
                  <c:v>Jun '17</c:v>
                </c:pt>
                <c:pt idx="30">
                  <c:v>Mar '17</c:v>
                </c:pt>
                <c:pt idx="31">
                  <c:v>Dec '16</c:v>
                </c:pt>
                <c:pt idx="32">
                  <c:v>Sep '16</c:v>
                </c:pt>
                <c:pt idx="33">
                  <c:v>Jun '16</c:v>
                </c:pt>
                <c:pt idx="34">
                  <c:v>Mar '16</c:v>
                </c:pt>
                <c:pt idx="35">
                  <c:v>Dec '15</c:v>
                </c:pt>
                <c:pt idx="36">
                  <c:v>Sep '15</c:v>
                </c:pt>
                <c:pt idx="37">
                  <c:v>Jun '15</c:v>
                </c:pt>
                <c:pt idx="38">
                  <c:v>Mar '15</c:v>
                </c:pt>
                <c:pt idx="39">
                  <c:v>Dec '14</c:v>
                </c:pt>
                <c:pt idx="40">
                  <c:v>Sep '14</c:v>
                </c:pt>
                <c:pt idx="41">
                  <c:v>Jun '14</c:v>
                </c:pt>
                <c:pt idx="42">
                  <c:v>Mar '14</c:v>
                </c:pt>
                <c:pt idx="43">
                  <c:v>Dec '13</c:v>
                </c:pt>
                <c:pt idx="44">
                  <c:v>Sep '13</c:v>
                </c:pt>
                <c:pt idx="45">
                  <c:v>Jun '13</c:v>
                </c:pt>
                <c:pt idx="46">
                  <c:v>Mar '13</c:v>
                </c:pt>
              </c:strCache>
            </c:strRef>
          </c:cat>
          <c:val>
            <c:numRef>
              <c:f>'Tata Steel'!$B$47:$AV$47</c:f>
              <c:numCache>
                <c:formatCode>0.000</c:formatCode>
                <c:ptCount val="47"/>
                <c:pt idx="0">
                  <c:v>4.8036573426487088E-2</c:v>
                </c:pt>
                <c:pt idx="1">
                  <c:v>4.6164917963352772E-2</c:v>
                </c:pt>
                <c:pt idx="2">
                  <c:v>4.2361642728076042E-2</c:v>
                </c:pt>
                <c:pt idx="3">
                  <c:v>4.4083439842264434E-2</c:v>
                </c:pt>
                <c:pt idx="4">
                  <c:v>4.3476179338706136E-2</c:v>
                </c:pt>
                <c:pt idx="5">
                  <c:v>4.1194287732030738E-2</c:v>
                </c:pt>
                <c:pt idx="6">
                  <c:v>4.0569476304416201E-2</c:v>
                </c:pt>
                <c:pt idx="7">
                  <c:v>4.4986934311145567E-2</c:v>
                </c:pt>
                <c:pt idx="8">
                  <c:v>4.2338193951632776E-2</c:v>
                </c:pt>
                <c:pt idx="9">
                  <c:v>4.1971400723710528E-2</c:v>
                </c:pt>
                <c:pt idx="10">
                  <c:v>3.7615731116959136E-2</c:v>
                </c:pt>
                <c:pt idx="11">
                  <c:v>4.2553790562894482E-2</c:v>
                </c:pt>
                <c:pt idx="12">
                  <c:v>4.1494346465117377E-2</c:v>
                </c:pt>
                <c:pt idx="13">
                  <c:v>4.6873520011962509E-2</c:v>
                </c:pt>
                <c:pt idx="14">
                  <c:v>5.0003074304006391E-2</c:v>
                </c:pt>
                <c:pt idx="15">
                  <c:v>5.4957885127674598E-2</c:v>
                </c:pt>
                <c:pt idx="16">
                  <c:v>6.1484001325023012E-2</c:v>
                </c:pt>
                <c:pt idx="17">
                  <c:v>0.10379192999513855</c:v>
                </c:pt>
                <c:pt idx="18">
                  <c:v>7.0524922544740395E-2</c:v>
                </c:pt>
                <c:pt idx="19">
                  <c:v>6.6129953149485665E-2</c:v>
                </c:pt>
                <c:pt idx="20">
                  <c:v>6.6981302695322154E-2</c:v>
                </c:pt>
                <c:pt idx="21">
                  <c:v>6.1194921819417873E-2</c:v>
                </c:pt>
                <c:pt idx="22">
                  <c:v>5.1515644605085835E-2</c:v>
                </c:pt>
                <c:pt idx="23">
                  <c:v>5.6300857576618124E-2</c:v>
                </c:pt>
                <c:pt idx="24">
                  <c:v>5.2538858629957767E-2</c:v>
                </c:pt>
                <c:pt idx="25">
                  <c:v>6.1077779813696893E-2</c:v>
                </c:pt>
                <c:pt idx="26">
                  <c:v>5.8620235542010006E-2</c:v>
                </c:pt>
                <c:pt idx="27">
                  <c:v>5.9690632360414213E-2</c:v>
                </c:pt>
                <c:pt idx="28">
                  <c:v>6.5592838718767879E-2</c:v>
                </c:pt>
                <c:pt idx="29">
                  <c:v>7.5291201133095925E-2</c:v>
                </c:pt>
                <c:pt idx="30">
                  <c:v>6.9487320004783665E-2</c:v>
                </c:pt>
                <c:pt idx="31">
                  <c:v>6.9568557162975289E-2</c:v>
                </c:pt>
                <c:pt idx="32">
                  <c:v>8.6636591974105476E-2</c:v>
                </c:pt>
                <c:pt idx="33">
                  <c:v>7.7605583424594629E-2</c:v>
                </c:pt>
                <c:pt idx="34">
                  <c:v>7.2057790037815955E-2</c:v>
                </c:pt>
                <c:pt idx="35">
                  <c:v>8.2217208720514648E-2</c:v>
                </c:pt>
                <c:pt idx="36">
                  <c:v>7.8562181983419535E-2</c:v>
                </c:pt>
                <c:pt idx="37">
                  <c:v>8.1129169735989978E-2</c:v>
                </c:pt>
                <c:pt idx="38">
                  <c:v>5.4402490620260237E-2</c:v>
                </c:pt>
                <c:pt idx="39">
                  <c:v>4.6564908815053915E-2</c:v>
                </c:pt>
                <c:pt idx="40">
                  <c:v>4.4348274644004572E-2</c:v>
                </c:pt>
                <c:pt idx="41">
                  <c:v>4.7530625676328063E-2</c:v>
                </c:pt>
                <c:pt idx="42">
                  <c:v>3.8335248863968538E-2</c:v>
                </c:pt>
                <c:pt idx="43">
                  <c:v>4.5462468016616915E-2</c:v>
                </c:pt>
                <c:pt idx="44">
                  <c:v>5.6079055969142928E-2</c:v>
                </c:pt>
                <c:pt idx="45">
                  <c:v>4.9084695076364412E-2</c:v>
                </c:pt>
                <c:pt idx="46">
                  <c:v>4.3457060723124281E-2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4-4BF5-AB1A-FA9322B9F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994127"/>
        <c:axId val="750997039"/>
      </c:lineChart>
      <c:catAx>
        <c:axId val="75099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997039"/>
        <c:crosses val="autoZero"/>
        <c:auto val="1"/>
        <c:lblAlgn val="ctr"/>
        <c:lblOffset val="100"/>
        <c:noMultiLvlLbl val="0"/>
      </c:catAx>
      <c:valAx>
        <c:axId val="750997039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99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'Tata Steel'!$A$53</c:f>
              <c:strCache>
                <c:ptCount val="1"/>
                <c:pt idx="0">
                  <c:v>Interest / Sales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'Tata Steel'!$B$33:$AV$33</c:f>
              <c:strCache>
                <c:ptCount val="47"/>
                <c:pt idx="0">
                  <c:v>Sep '24</c:v>
                </c:pt>
                <c:pt idx="1">
                  <c:v>Jun '24</c:v>
                </c:pt>
                <c:pt idx="2">
                  <c:v>Mar '24</c:v>
                </c:pt>
                <c:pt idx="3">
                  <c:v>Dec '23</c:v>
                </c:pt>
                <c:pt idx="4">
                  <c:v>Sep '23</c:v>
                </c:pt>
                <c:pt idx="5">
                  <c:v>Jun '23</c:v>
                </c:pt>
                <c:pt idx="6">
                  <c:v>Mar '23</c:v>
                </c:pt>
                <c:pt idx="7">
                  <c:v>Dec '22</c:v>
                </c:pt>
                <c:pt idx="8">
                  <c:v>Sep '22</c:v>
                </c:pt>
                <c:pt idx="9">
                  <c:v>Jun '22</c:v>
                </c:pt>
                <c:pt idx="10">
                  <c:v>Mar '22</c:v>
                </c:pt>
                <c:pt idx="11">
                  <c:v>Dec '21</c:v>
                </c:pt>
                <c:pt idx="12">
                  <c:v>Sep '21</c:v>
                </c:pt>
                <c:pt idx="13">
                  <c:v>Jun '21</c:v>
                </c:pt>
                <c:pt idx="14">
                  <c:v>Mar '21</c:v>
                </c:pt>
                <c:pt idx="15">
                  <c:v>Dec '20</c:v>
                </c:pt>
                <c:pt idx="16">
                  <c:v>Sep '20</c:v>
                </c:pt>
                <c:pt idx="17">
                  <c:v>Jun '20</c:v>
                </c:pt>
                <c:pt idx="18">
                  <c:v>Mar '20</c:v>
                </c:pt>
                <c:pt idx="19">
                  <c:v>Dec '19</c:v>
                </c:pt>
                <c:pt idx="20">
                  <c:v>Sep '19</c:v>
                </c:pt>
                <c:pt idx="21">
                  <c:v>Jun '19</c:v>
                </c:pt>
                <c:pt idx="22">
                  <c:v>Mar '19</c:v>
                </c:pt>
                <c:pt idx="23">
                  <c:v>Dec '18</c:v>
                </c:pt>
                <c:pt idx="24">
                  <c:v>Sep '18</c:v>
                </c:pt>
                <c:pt idx="25">
                  <c:v>Jun '18</c:v>
                </c:pt>
                <c:pt idx="26">
                  <c:v>Mar '18</c:v>
                </c:pt>
                <c:pt idx="27">
                  <c:v>Dec '17</c:v>
                </c:pt>
                <c:pt idx="28">
                  <c:v>Sep '17</c:v>
                </c:pt>
                <c:pt idx="29">
                  <c:v>Jun '17</c:v>
                </c:pt>
                <c:pt idx="30">
                  <c:v>Mar '17</c:v>
                </c:pt>
                <c:pt idx="31">
                  <c:v>Dec '16</c:v>
                </c:pt>
                <c:pt idx="32">
                  <c:v>Sep '16</c:v>
                </c:pt>
                <c:pt idx="33">
                  <c:v>Jun '16</c:v>
                </c:pt>
                <c:pt idx="34">
                  <c:v>Mar '16</c:v>
                </c:pt>
                <c:pt idx="35">
                  <c:v>Dec '15</c:v>
                </c:pt>
                <c:pt idx="36">
                  <c:v>Sep '15</c:v>
                </c:pt>
                <c:pt idx="37">
                  <c:v>Jun '15</c:v>
                </c:pt>
                <c:pt idx="38">
                  <c:v>Mar '15</c:v>
                </c:pt>
                <c:pt idx="39">
                  <c:v>Dec '14</c:v>
                </c:pt>
                <c:pt idx="40">
                  <c:v>Sep '14</c:v>
                </c:pt>
                <c:pt idx="41">
                  <c:v>Jun '14</c:v>
                </c:pt>
                <c:pt idx="42">
                  <c:v>Mar '14</c:v>
                </c:pt>
                <c:pt idx="43">
                  <c:v>Dec '13</c:v>
                </c:pt>
                <c:pt idx="44">
                  <c:v>Sep '13</c:v>
                </c:pt>
                <c:pt idx="45">
                  <c:v>Jun '13</c:v>
                </c:pt>
                <c:pt idx="46">
                  <c:v>Mar '13</c:v>
                </c:pt>
              </c:strCache>
            </c:strRef>
          </c:cat>
          <c:val>
            <c:numRef>
              <c:f>'Tata Steel'!$B$53:$AV$53</c:f>
              <c:numCache>
                <c:formatCode>0.000</c:formatCode>
                <c:ptCount val="47"/>
                <c:pt idx="0">
                  <c:v>3.4965067340586943E-2</c:v>
                </c:pt>
                <c:pt idx="1">
                  <c:v>2.8057328261274536E-2</c:v>
                </c:pt>
                <c:pt idx="2">
                  <c:v>2.6108650693065245E-2</c:v>
                </c:pt>
                <c:pt idx="3">
                  <c:v>3.0933936391725959E-2</c:v>
                </c:pt>
                <c:pt idx="4">
                  <c:v>3.4289932880175671E-2</c:v>
                </c:pt>
                <c:pt idx="5">
                  <c:v>3.1402570434010416E-2</c:v>
                </c:pt>
                <c:pt idx="6">
                  <c:v>3.072276020494661E-2</c:v>
                </c:pt>
                <c:pt idx="7">
                  <c:v>3.5228615910106224E-2</c:v>
                </c:pt>
                <c:pt idx="8">
                  <c:v>3.0073604485507752E-2</c:v>
                </c:pt>
                <c:pt idx="9">
                  <c:v>2.255856999246434E-2</c:v>
                </c:pt>
                <c:pt idx="10">
                  <c:v>1.7600153540272834E-2</c:v>
                </c:pt>
                <c:pt idx="11">
                  <c:v>2.015126273884105E-2</c:v>
                </c:pt>
                <c:pt idx="12">
                  <c:v>2.2398071098177014E-2</c:v>
                </c:pt>
                <c:pt idx="13">
                  <c:v>3.2142996233828609E-2</c:v>
                </c:pt>
                <c:pt idx="14">
                  <c:v>3.9855949642900373E-2</c:v>
                </c:pt>
                <c:pt idx="15">
                  <c:v>4.5278510520653348E-2</c:v>
                </c:pt>
                <c:pt idx="16">
                  <c:v>5.230051619669502E-2</c:v>
                </c:pt>
                <c:pt idx="17">
                  <c:v>9.7265381559475644E-2</c:v>
                </c:pt>
                <c:pt idx="18">
                  <c:v>5.6574180078992752E-2</c:v>
                </c:pt>
                <c:pt idx="19">
                  <c:v>5.2902207818677306E-2</c:v>
                </c:pt>
                <c:pt idx="20">
                  <c:v>4.9701171705122948E-2</c:v>
                </c:pt>
                <c:pt idx="21">
                  <c:v>4.5731450886151999E-2</c:v>
                </c:pt>
                <c:pt idx="22">
                  <c:v>3.5369095262370615E-2</c:v>
                </c:pt>
                <c:pt idx="23">
                  <c:v>4.0862201804301897E-2</c:v>
                </c:pt>
                <c:pt idx="24">
                  <c:v>4.5725337391032295E-2</c:v>
                </c:pt>
                <c:pt idx="25">
                  <c:v>4.2306949472339289E-2</c:v>
                </c:pt>
                <c:pt idx="26">
                  <c:v>4.585042204412336E-2</c:v>
                </c:pt>
                <c:pt idx="27">
                  <c:v>4.3774175470315362E-2</c:v>
                </c:pt>
                <c:pt idx="28">
                  <c:v>5.0980707904036984E-2</c:v>
                </c:pt>
                <c:pt idx="29">
                  <c:v>5.4546601919812275E-2</c:v>
                </c:pt>
                <c:pt idx="30">
                  <c:v>4.2903158401047151E-2</c:v>
                </c:pt>
                <c:pt idx="31">
                  <c:v>6.1589425169632568E-2</c:v>
                </c:pt>
                <c:pt idx="32">
                  <c:v>7.0012515811071124E-2</c:v>
                </c:pt>
                <c:pt idx="33">
                  <c:v>5.8420841134701675E-2</c:v>
                </c:pt>
                <c:pt idx="34">
                  <c:v>4.5098029841612847E-2</c:v>
                </c:pt>
                <c:pt idx="35">
                  <c:v>4.8655289492494633E-2</c:v>
                </c:pt>
                <c:pt idx="36">
                  <c:v>4.5786990314859527E-2</c:v>
                </c:pt>
                <c:pt idx="37">
                  <c:v>5.6468501509995793E-2</c:v>
                </c:pt>
                <c:pt idx="38">
                  <c:v>5.0592624692568811E-2</c:v>
                </c:pt>
                <c:pt idx="39">
                  <c:v>4.7088293095196875E-2</c:v>
                </c:pt>
                <c:pt idx="40">
                  <c:v>4.5678059392691137E-2</c:v>
                </c:pt>
                <c:pt idx="41">
                  <c:v>4.744197430459262E-2</c:v>
                </c:pt>
                <c:pt idx="42">
                  <c:v>3.858520900321543E-2</c:v>
                </c:pt>
                <c:pt idx="43">
                  <c:v>4.510989136854518E-2</c:v>
                </c:pt>
                <c:pt idx="44">
                  <c:v>4.4431327250800172E-2</c:v>
                </c:pt>
                <c:pt idx="45">
                  <c:v>4.9817366228772829E-2</c:v>
                </c:pt>
                <c:pt idx="46">
                  <c:v>4.3329736826220808E-2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3-4D35-A5D2-66D923D47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291055"/>
        <c:axId val="866283151"/>
      </c:lineChart>
      <c:catAx>
        <c:axId val="8662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283151"/>
        <c:crosses val="autoZero"/>
        <c:auto val="1"/>
        <c:lblAlgn val="ctr"/>
        <c:lblOffset val="100"/>
        <c:noMultiLvlLbl val="0"/>
      </c:catAx>
      <c:valAx>
        <c:axId val="866283151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29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'Tata Steel'!$A$59</c:f>
              <c:strCache>
                <c:ptCount val="1"/>
                <c:pt idx="0">
                  <c:v>Operational cost / sales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'Tata Steel'!$B$33:$AV$33</c:f>
              <c:strCache>
                <c:ptCount val="47"/>
                <c:pt idx="0">
                  <c:v>Sep '24</c:v>
                </c:pt>
                <c:pt idx="1">
                  <c:v>Jun '24</c:v>
                </c:pt>
                <c:pt idx="2">
                  <c:v>Mar '24</c:v>
                </c:pt>
                <c:pt idx="3">
                  <c:v>Dec '23</c:v>
                </c:pt>
                <c:pt idx="4">
                  <c:v>Sep '23</c:v>
                </c:pt>
                <c:pt idx="5">
                  <c:v>Jun '23</c:v>
                </c:pt>
                <c:pt idx="6">
                  <c:v>Mar '23</c:v>
                </c:pt>
                <c:pt idx="7">
                  <c:v>Dec '22</c:v>
                </c:pt>
                <c:pt idx="8">
                  <c:v>Sep '22</c:v>
                </c:pt>
                <c:pt idx="9">
                  <c:v>Jun '22</c:v>
                </c:pt>
                <c:pt idx="10">
                  <c:v>Mar '22</c:v>
                </c:pt>
                <c:pt idx="11">
                  <c:v>Dec '21</c:v>
                </c:pt>
                <c:pt idx="12">
                  <c:v>Sep '21</c:v>
                </c:pt>
                <c:pt idx="13">
                  <c:v>Jun '21</c:v>
                </c:pt>
                <c:pt idx="14">
                  <c:v>Mar '21</c:v>
                </c:pt>
                <c:pt idx="15">
                  <c:v>Dec '20</c:v>
                </c:pt>
                <c:pt idx="16">
                  <c:v>Sep '20</c:v>
                </c:pt>
                <c:pt idx="17">
                  <c:v>Jun '20</c:v>
                </c:pt>
                <c:pt idx="18">
                  <c:v>Mar '20</c:v>
                </c:pt>
                <c:pt idx="19">
                  <c:v>Dec '19</c:v>
                </c:pt>
                <c:pt idx="20">
                  <c:v>Sep '19</c:v>
                </c:pt>
                <c:pt idx="21">
                  <c:v>Jun '19</c:v>
                </c:pt>
                <c:pt idx="22">
                  <c:v>Mar '19</c:v>
                </c:pt>
                <c:pt idx="23">
                  <c:v>Dec '18</c:v>
                </c:pt>
                <c:pt idx="24">
                  <c:v>Sep '18</c:v>
                </c:pt>
                <c:pt idx="25">
                  <c:v>Jun '18</c:v>
                </c:pt>
                <c:pt idx="26">
                  <c:v>Mar '18</c:v>
                </c:pt>
                <c:pt idx="27">
                  <c:v>Dec '17</c:v>
                </c:pt>
                <c:pt idx="28">
                  <c:v>Sep '17</c:v>
                </c:pt>
                <c:pt idx="29">
                  <c:v>Jun '17</c:v>
                </c:pt>
                <c:pt idx="30">
                  <c:v>Mar '17</c:v>
                </c:pt>
                <c:pt idx="31">
                  <c:v>Dec '16</c:v>
                </c:pt>
                <c:pt idx="32">
                  <c:v>Sep '16</c:v>
                </c:pt>
                <c:pt idx="33">
                  <c:v>Jun '16</c:v>
                </c:pt>
                <c:pt idx="34">
                  <c:v>Mar '16</c:v>
                </c:pt>
                <c:pt idx="35">
                  <c:v>Dec '15</c:v>
                </c:pt>
                <c:pt idx="36">
                  <c:v>Sep '15</c:v>
                </c:pt>
                <c:pt idx="37">
                  <c:v>Jun '15</c:v>
                </c:pt>
                <c:pt idx="38">
                  <c:v>Mar '15</c:v>
                </c:pt>
                <c:pt idx="39">
                  <c:v>Dec '14</c:v>
                </c:pt>
                <c:pt idx="40">
                  <c:v>Sep '14</c:v>
                </c:pt>
                <c:pt idx="41">
                  <c:v>Jun '14</c:v>
                </c:pt>
                <c:pt idx="42">
                  <c:v>Mar '14</c:v>
                </c:pt>
                <c:pt idx="43">
                  <c:v>Dec '13</c:v>
                </c:pt>
                <c:pt idx="44">
                  <c:v>Sep '13</c:v>
                </c:pt>
                <c:pt idx="45">
                  <c:v>Jun '13</c:v>
                </c:pt>
                <c:pt idx="46">
                  <c:v>Mar '13</c:v>
                </c:pt>
              </c:strCache>
            </c:strRef>
          </c:cat>
          <c:val>
            <c:numRef>
              <c:f>'Tata Steel'!$B$59:$AV$59</c:f>
              <c:numCache>
                <c:formatCode>#,##0.00</c:formatCode>
                <c:ptCount val="47"/>
                <c:pt idx="0">
                  <c:v>0.36653520365141662</c:v>
                </c:pt>
                <c:pt idx="1">
                  <c:v>0.40727513572652141</c:v>
                </c:pt>
                <c:pt idx="2">
                  <c:v>0.37121557652109616</c:v>
                </c:pt>
                <c:pt idx="3">
                  <c:v>0.40651644594390307</c:v>
                </c:pt>
                <c:pt idx="4">
                  <c:v>0.36196464004093487</c:v>
                </c:pt>
                <c:pt idx="5">
                  <c:v>0.36152270665476877</c:v>
                </c:pt>
                <c:pt idx="6">
                  <c:v>0.33923179637180467</c:v>
                </c:pt>
                <c:pt idx="7">
                  <c:v>0.33665689707860974</c:v>
                </c:pt>
                <c:pt idx="8">
                  <c:v>0.30026273640705531</c:v>
                </c:pt>
                <c:pt idx="9">
                  <c:v>0.3022870239582725</c:v>
                </c:pt>
                <c:pt idx="10">
                  <c:v>0.27192358536165795</c:v>
                </c:pt>
                <c:pt idx="11">
                  <c:v>0.32720930414447391</c:v>
                </c:pt>
                <c:pt idx="12">
                  <c:v>0.33672454374725885</c:v>
                </c:pt>
                <c:pt idx="13">
                  <c:v>0.34070893260077378</c:v>
                </c:pt>
                <c:pt idx="14">
                  <c:v>0.37195235597366089</c:v>
                </c:pt>
                <c:pt idx="15">
                  <c:v>0.38432770990513049</c:v>
                </c:pt>
                <c:pt idx="16">
                  <c:v>0.40120205500801254</c:v>
                </c:pt>
                <c:pt idx="17">
                  <c:v>0.59176145063916263</c:v>
                </c:pt>
                <c:pt idx="18">
                  <c:v>0.50699190721834464</c:v>
                </c:pt>
                <c:pt idx="19">
                  <c:v>0.40147556848935095</c:v>
                </c:pt>
                <c:pt idx="20">
                  <c:v>0.45616011508582432</c:v>
                </c:pt>
                <c:pt idx="21">
                  <c:v>0.46839354318508797</c:v>
                </c:pt>
                <c:pt idx="22">
                  <c:v>0.40433623615869119</c:v>
                </c:pt>
                <c:pt idx="23">
                  <c:v>0.46276365658112467</c:v>
                </c:pt>
                <c:pt idx="24">
                  <c:v>0.38168290220281853</c:v>
                </c:pt>
                <c:pt idx="25">
                  <c:v>0.43584316764803471</c:v>
                </c:pt>
                <c:pt idx="26">
                  <c:v>0.44894771168052577</c:v>
                </c:pt>
                <c:pt idx="27">
                  <c:v>0.40736867682041861</c:v>
                </c:pt>
                <c:pt idx="28">
                  <c:v>0.38795185746450839</c:v>
                </c:pt>
                <c:pt idx="29">
                  <c:v>0.50069688827116399</c:v>
                </c:pt>
                <c:pt idx="30">
                  <c:v>0.44208940983516076</c:v>
                </c:pt>
                <c:pt idx="31">
                  <c:v>0.44339953271028032</c:v>
                </c:pt>
                <c:pt idx="32">
                  <c:v>0.47247424375326075</c:v>
                </c:pt>
                <c:pt idx="33">
                  <c:v>0.52287751262938487</c:v>
                </c:pt>
                <c:pt idx="34">
                  <c:v>0.51215225820022858</c:v>
                </c:pt>
                <c:pt idx="35">
                  <c:v>0.4856593995711222</c:v>
                </c:pt>
                <c:pt idx="36">
                  <c:v>0.43326341151543646</c:v>
                </c:pt>
                <c:pt idx="37">
                  <c:v>0.4791682894206824</c:v>
                </c:pt>
                <c:pt idx="38">
                  <c:v>0.45912543192418653</c:v>
                </c:pt>
                <c:pt idx="39">
                  <c:v>0.41763519912022562</c:v>
                </c:pt>
                <c:pt idx="40">
                  <c:v>0.41301731243306694</c:v>
                </c:pt>
                <c:pt idx="41">
                  <c:v>0.40497006570801131</c:v>
                </c:pt>
                <c:pt idx="42">
                  <c:v>0.3629927785602296</c:v>
                </c:pt>
                <c:pt idx="43">
                  <c:v>0.4236517180143759</c:v>
                </c:pt>
                <c:pt idx="44">
                  <c:v>0.40507228308713145</c:v>
                </c:pt>
                <c:pt idx="45">
                  <c:v>0.41112784363985905</c:v>
                </c:pt>
                <c:pt idx="46">
                  <c:v>0.35768017746121811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0-4A8C-9575-ED5A667B9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579695"/>
        <c:axId val="992589263"/>
      </c:lineChart>
      <c:catAx>
        <c:axId val="99257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89263"/>
        <c:crosses val="autoZero"/>
        <c:auto val="1"/>
        <c:lblAlgn val="ctr"/>
        <c:lblOffset val="100"/>
        <c:noMultiLvlLbl val="0"/>
      </c:catAx>
      <c:valAx>
        <c:axId val="992589263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7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85725</xdr:rowOff>
    </xdr:from>
    <xdr:to>
      <xdr:col>29</xdr:col>
      <xdr:colOff>453118</xdr:colOff>
      <xdr:row>40</xdr:row>
      <xdr:rowOff>58511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4108ABB-A59E-4C7F-B0C3-3B4C1D1ED3B6}"/>
            </a:ext>
          </a:extLst>
        </xdr:cNvPr>
        <xdr:cNvSpPr/>
      </xdr:nvSpPr>
      <xdr:spPr>
        <a:xfrm>
          <a:off x="285750" y="85725"/>
          <a:ext cx="17845768" cy="7592786"/>
        </a:xfrm>
        <a:prstGeom prst="roundRect">
          <a:avLst>
            <a:gd name="adj" fmla="val 7386"/>
          </a:avLst>
        </a:prstGeom>
        <a:gradFill>
          <a:gsLst>
            <a:gs pos="85000">
              <a:srgbClr val="2B4B83"/>
            </a:gs>
            <a:gs pos="49000">
              <a:srgbClr val="532476">
                <a:alpha val="84000"/>
                <a:lumMod val="69000"/>
              </a:srgbClr>
            </a:gs>
            <a:gs pos="100000">
              <a:schemeClr val="accent1">
                <a:lumMod val="60000"/>
                <a:lumOff val="40000"/>
              </a:schemeClr>
            </a:gs>
            <a:gs pos="24000">
              <a:schemeClr val="accent1">
                <a:shade val="30000"/>
                <a:satMod val="115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336176</xdr:colOff>
      <xdr:row>2</xdr:row>
      <xdr:rowOff>90527</xdr:rowOff>
    </xdr:from>
    <xdr:to>
      <xdr:col>27</xdr:col>
      <xdr:colOff>369794</xdr:colOff>
      <xdr:row>38</xdr:row>
      <xdr:rowOff>72838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3558C-1E38-4C20-9DF4-F9D11D13F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37380</xdr:colOff>
      <xdr:row>39</xdr:row>
      <xdr:rowOff>163286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97983F7-0458-41FF-B6EC-3D3EFD7A2DBF}"/>
            </a:ext>
          </a:extLst>
        </xdr:cNvPr>
        <xdr:cNvSpPr/>
      </xdr:nvSpPr>
      <xdr:spPr>
        <a:xfrm>
          <a:off x="0" y="0"/>
          <a:ext cx="17715780" cy="7592786"/>
        </a:xfrm>
        <a:prstGeom prst="roundRect">
          <a:avLst>
            <a:gd name="adj" fmla="val 7386"/>
          </a:avLst>
        </a:prstGeom>
        <a:gradFill>
          <a:gsLst>
            <a:gs pos="85000">
              <a:srgbClr val="2B4B83"/>
            </a:gs>
            <a:gs pos="49000">
              <a:srgbClr val="532476">
                <a:alpha val="84000"/>
                <a:lumMod val="69000"/>
              </a:srgbClr>
            </a:gs>
            <a:gs pos="100000">
              <a:schemeClr val="accent1">
                <a:lumMod val="60000"/>
                <a:lumOff val="40000"/>
              </a:schemeClr>
            </a:gs>
            <a:gs pos="24000">
              <a:schemeClr val="accent1">
                <a:shade val="30000"/>
                <a:satMod val="115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145677</xdr:colOff>
      <xdr:row>2</xdr:row>
      <xdr:rowOff>56028</xdr:rowOff>
    </xdr:from>
    <xdr:to>
      <xdr:col>26</xdr:col>
      <xdr:colOff>481853</xdr:colOff>
      <xdr:row>37</xdr:row>
      <xdr:rowOff>33617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575FE-3E1E-4723-BF5A-06297A8A3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516992</xdr:colOff>
      <xdr:row>39</xdr:row>
      <xdr:rowOff>163286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45CD2C3-0F25-4AEA-A812-0CC51263B01A}"/>
            </a:ext>
          </a:extLst>
        </xdr:cNvPr>
        <xdr:cNvSpPr/>
      </xdr:nvSpPr>
      <xdr:spPr>
        <a:xfrm>
          <a:off x="0" y="0"/>
          <a:ext cx="17585792" cy="7592786"/>
        </a:xfrm>
        <a:prstGeom prst="roundRect">
          <a:avLst>
            <a:gd name="adj" fmla="val 7386"/>
          </a:avLst>
        </a:prstGeom>
        <a:gradFill>
          <a:gsLst>
            <a:gs pos="85000">
              <a:srgbClr val="2B4B83"/>
            </a:gs>
            <a:gs pos="49000">
              <a:srgbClr val="532476">
                <a:alpha val="84000"/>
                <a:lumMod val="69000"/>
              </a:srgbClr>
            </a:gs>
            <a:gs pos="100000">
              <a:schemeClr val="accent1">
                <a:lumMod val="60000"/>
                <a:lumOff val="40000"/>
              </a:schemeClr>
            </a:gs>
            <a:gs pos="24000">
              <a:schemeClr val="accent1">
                <a:shade val="30000"/>
                <a:satMod val="115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385481</xdr:colOff>
      <xdr:row>2</xdr:row>
      <xdr:rowOff>44823</xdr:rowOff>
    </xdr:from>
    <xdr:to>
      <xdr:col>27</xdr:col>
      <xdr:colOff>190500</xdr:colOff>
      <xdr:row>37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12687-A58B-49D2-9941-C2F3D12B8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391486</xdr:colOff>
      <xdr:row>39</xdr:row>
      <xdr:rowOff>163286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D1BBB46-3E8D-4D8C-BAB5-B2155315CE6A}"/>
            </a:ext>
          </a:extLst>
        </xdr:cNvPr>
        <xdr:cNvSpPr/>
      </xdr:nvSpPr>
      <xdr:spPr>
        <a:xfrm>
          <a:off x="0" y="0"/>
          <a:ext cx="17460286" cy="7592786"/>
        </a:xfrm>
        <a:prstGeom prst="roundRect">
          <a:avLst>
            <a:gd name="adj" fmla="val 7386"/>
          </a:avLst>
        </a:prstGeom>
        <a:gradFill>
          <a:gsLst>
            <a:gs pos="85000">
              <a:srgbClr val="2B4B83"/>
            </a:gs>
            <a:gs pos="49000">
              <a:srgbClr val="532476">
                <a:alpha val="84000"/>
                <a:lumMod val="69000"/>
              </a:srgbClr>
            </a:gs>
            <a:gs pos="100000">
              <a:schemeClr val="accent1">
                <a:lumMod val="60000"/>
                <a:lumOff val="40000"/>
              </a:schemeClr>
            </a:gs>
            <a:gs pos="24000">
              <a:schemeClr val="accent1">
                <a:shade val="30000"/>
                <a:satMod val="115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161513</xdr:colOff>
      <xdr:row>2</xdr:row>
      <xdr:rowOff>74680</xdr:rowOff>
    </xdr:from>
    <xdr:to>
      <xdr:col>27</xdr:col>
      <xdr:colOff>188285</xdr:colOff>
      <xdr:row>37</xdr:row>
      <xdr:rowOff>44302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EE990-B067-4735-ACEB-5F35394D2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321148</xdr:colOff>
      <xdr:row>39</xdr:row>
      <xdr:rowOff>81643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139965-D35A-406F-9641-C98C0BBC1F5B}"/>
            </a:ext>
          </a:extLst>
        </xdr:cNvPr>
        <xdr:cNvSpPr/>
      </xdr:nvSpPr>
      <xdr:spPr>
        <a:xfrm>
          <a:off x="0" y="0"/>
          <a:ext cx="17389948" cy="7511143"/>
        </a:xfrm>
        <a:prstGeom prst="roundRect">
          <a:avLst>
            <a:gd name="adj" fmla="val 7386"/>
          </a:avLst>
        </a:prstGeom>
        <a:gradFill>
          <a:gsLst>
            <a:gs pos="85000">
              <a:srgbClr val="2B4B83"/>
            </a:gs>
            <a:gs pos="49000">
              <a:srgbClr val="532476">
                <a:alpha val="84000"/>
                <a:lumMod val="69000"/>
              </a:srgbClr>
            </a:gs>
            <a:gs pos="100000">
              <a:schemeClr val="accent1">
                <a:lumMod val="60000"/>
                <a:lumOff val="40000"/>
              </a:schemeClr>
            </a:gs>
            <a:gs pos="24000">
              <a:schemeClr val="accent1">
                <a:shade val="30000"/>
                <a:satMod val="115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119933</xdr:colOff>
      <xdr:row>2</xdr:row>
      <xdr:rowOff>101261</xdr:rowOff>
    </xdr:from>
    <xdr:to>
      <xdr:col>26</xdr:col>
      <xdr:colOff>587006</xdr:colOff>
      <xdr:row>36</xdr:row>
      <xdr:rowOff>132906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DBA183-E1E5-4675-BCB2-92759FA53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E8FF-4732-4EF8-8549-DBB4031B8066}">
  <dimension ref="A1:AV5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51.140625" customWidth="1"/>
    <col min="2" max="5" width="10.140625" bestFit="1" customWidth="1"/>
    <col min="6" max="6" width="10.85546875" bestFit="1" customWidth="1"/>
    <col min="7" max="18" width="10.140625" bestFit="1" customWidth="1"/>
    <col min="19" max="19" width="9" bestFit="1" customWidth="1"/>
    <col min="20" max="34" width="10.140625" bestFit="1" customWidth="1"/>
    <col min="35" max="35" width="9.7109375" bestFit="1" customWidth="1"/>
    <col min="36" max="36" width="10.140625" bestFit="1" customWidth="1"/>
    <col min="37" max="37" width="9" bestFit="1" customWidth="1"/>
    <col min="38" max="38" width="9.7109375" bestFit="1" customWidth="1"/>
    <col min="39" max="39" width="9" bestFit="1" customWidth="1"/>
    <col min="40" max="40" width="10.140625" bestFit="1" customWidth="1"/>
    <col min="41" max="41" width="9" bestFit="1" customWidth="1"/>
    <col min="42" max="45" width="10.140625" bestFit="1" customWidth="1"/>
    <col min="46" max="47" width="9" bestFit="1" customWidth="1"/>
    <col min="48" max="48" width="10.140625" bestFit="1" customWidth="1"/>
  </cols>
  <sheetData>
    <row r="1" spans="1:48" s="10" customFormat="1" ht="32.2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9" t="s">
        <v>41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49</v>
      </c>
      <c r="U1" s="9" t="s">
        <v>50</v>
      </c>
      <c r="V1" s="9" t="s">
        <v>51</v>
      </c>
      <c r="W1" s="9" t="s">
        <v>52</v>
      </c>
      <c r="X1" s="9" t="s">
        <v>53</v>
      </c>
      <c r="Y1" s="9" t="s">
        <v>54</v>
      </c>
      <c r="Z1" s="9" t="s">
        <v>55</v>
      </c>
      <c r="AA1" s="8" t="s">
        <v>56</v>
      </c>
      <c r="AB1" s="8" t="s">
        <v>57</v>
      </c>
      <c r="AC1" s="8" t="s">
        <v>58</v>
      </c>
      <c r="AD1" s="8" t="s">
        <v>59</v>
      </c>
      <c r="AE1" s="8" t="s">
        <v>60</v>
      </c>
      <c r="AF1" s="9" t="s">
        <v>61</v>
      </c>
      <c r="AG1" s="9" t="s">
        <v>62</v>
      </c>
      <c r="AH1" s="9" t="s">
        <v>63</v>
      </c>
      <c r="AI1" s="9" t="s">
        <v>64</v>
      </c>
      <c r="AJ1" s="9" t="s">
        <v>65</v>
      </c>
      <c r="AK1" s="8" t="s">
        <v>66</v>
      </c>
      <c r="AL1" s="8" t="s">
        <v>67</v>
      </c>
      <c r="AM1" s="8" t="s">
        <v>68</v>
      </c>
      <c r="AN1" s="8" t="s">
        <v>69</v>
      </c>
      <c r="AO1" s="8" t="s">
        <v>70</v>
      </c>
      <c r="AP1" s="8" t="s">
        <v>71</v>
      </c>
      <c r="AQ1" s="8" t="s">
        <v>72</v>
      </c>
      <c r="AR1" s="8" t="s">
        <v>73</v>
      </c>
      <c r="AS1" s="8" t="s">
        <v>74</v>
      </c>
      <c r="AT1" s="8" t="s">
        <v>75</v>
      </c>
      <c r="AU1" s="9" t="s">
        <v>76</v>
      </c>
      <c r="AV1" s="9" t="s">
        <v>77</v>
      </c>
    </row>
    <row r="2" spans="1:48" ht="15.75" thickBot="1" x14ac:dyDescent="0.3">
      <c r="A2" s="1" t="s">
        <v>6</v>
      </c>
      <c r="B2" s="2">
        <v>32399.48</v>
      </c>
      <c r="C2" s="2">
        <v>32959.660000000003</v>
      </c>
      <c r="D2" s="2">
        <v>36066.589999999997</v>
      </c>
      <c r="E2" s="2">
        <v>34199.01</v>
      </c>
      <c r="F2" s="2">
        <v>32793.589999999997</v>
      </c>
      <c r="G2" s="2">
        <v>32341.62</v>
      </c>
      <c r="H2" s="2">
        <v>33798.07</v>
      </c>
      <c r="I2" s="2">
        <v>30465.29</v>
      </c>
      <c r="J2" s="2">
        <v>31860.83</v>
      </c>
      <c r="K2" s="2">
        <v>32021.09</v>
      </c>
      <c r="L2" s="2">
        <v>36680.93</v>
      </c>
      <c r="M2" s="2">
        <v>31964.25</v>
      </c>
      <c r="N2" s="2">
        <v>32582.27</v>
      </c>
      <c r="O2" s="2">
        <v>20798.310000000001</v>
      </c>
      <c r="P2" s="2">
        <v>20817.72</v>
      </c>
      <c r="Q2" s="2">
        <v>17669.53</v>
      </c>
      <c r="R2" s="2">
        <v>16361.98</v>
      </c>
      <c r="S2" s="2">
        <v>9338.7800000000007</v>
      </c>
      <c r="T2" s="2">
        <v>14211.43</v>
      </c>
      <c r="U2" s="2">
        <v>14817.34</v>
      </c>
      <c r="V2" s="2">
        <v>14486.58</v>
      </c>
      <c r="W2" s="2">
        <v>15812.75</v>
      </c>
      <c r="X2" s="2">
        <v>18498.07</v>
      </c>
      <c r="Y2" s="2">
        <v>16691.22</v>
      </c>
      <c r="Z2" s="2">
        <v>17579.75</v>
      </c>
      <c r="AA2" s="2">
        <v>16154.32</v>
      </c>
      <c r="AB2" s="2">
        <v>15946.2</v>
      </c>
      <c r="AC2" s="2">
        <v>15309.94</v>
      </c>
      <c r="AD2" s="2">
        <v>13910.36</v>
      </c>
      <c r="AE2" s="2">
        <v>12835.63</v>
      </c>
      <c r="AF2" s="2">
        <v>15218.46</v>
      </c>
      <c r="AG2" s="2">
        <v>12497.6</v>
      </c>
      <c r="AH2" s="2">
        <v>10522.69</v>
      </c>
      <c r="AI2" s="2">
        <v>9058.24</v>
      </c>
      <c r="AJ2" s="2">
        <v>10458.549999999999</v>
      </c>
      <c r="AK2" s="2">
        <v>8953.6</v>
      </c>
      <c r="AL2" s="2">
        <v>9462.9500000000007</v>
      </c>
      <c r="AM2" s="2">
        <v>8986.7800000000007</v>
      </c>
      <c r="AN2" s="2">
        <v>10522.68</v>
      </c>
      <c r="AO2" s="2">
        <v>9820.7000000000007</v>
      </c>
      <c r="AP2" s="2">
        <v>10700.98</v>
      </c>
      <c r="AQ2" s="2">
        <v>10377.73</v>
      </c>
      <c r="AR2" s="2">
        <v>12041.92</v>
      </c>
      <c r="AS2" s="2">
        <v>10040.370000000001</v>
      </c>
      <c r="AT2" s="2">
        <v>9825.9500000000007</v>
      </c>
      <c r="AU2" s="2">
        <v>9363</v>
      </c>
      <c r="AV2" s="2">
        <v>10602.88</v>
      </c>
    </row>
    <row r="3" spans="1:48" ht="15.75" thickBot="1" x14ac:dyDescent="0.3">
      <c r="A3" s="1" t="s">
        <v>7</v>
      </c>
      <c r="B3" s="3" t="s">
        <v>8</v>
      </c>
      <c r="C3" s="3" t="s">
        <v>8</v>
      </c>
      <c r="D3" s="3">
        <v>568.19000000000005</v>
      </c>
      <c r="E3" s="3">
        <v>482.89</v>
      </c>
      <c r="F3" s="3">
        <v>429.58</v>
      </c>
      <c r="G3" s="3" t="s">
        <v>8</v>
      </c>
      <c r="H3" s="3">
        <v>477.18</v>
      </c>
      <c r="I3" s="3" t="s">
        <v>8</v>
      </c>
      <c r="J3" s="3">
        <v>384.16</v>
      </c>
      <c r="K3" s="3" t="s">
        <v>8</v>
      </c>
      <c r="L3" s="3" t="s">
        <v>8</v>
      </c>
      <c r="M3" s="3" t="s">
        <v>8</v>
      </c>
      <c r="N3" s="3" t="s">
        <v>8</v>
      </c>
      <c r="O3" s="3" t="s">
        <v>8</v>
      </c>
      <c r="P3" s="3">
        <v>384.86</v>
      </c>
      <c r="Q3" s="3">
        <v>296.13</v>
      </c>
      <c r="R3" s="3" t="s">
        <v>8</v>
      </c>
      <c r="S3" s="3" t="s">
        <v>8</v>
      </c>
      <c r="T3" s="3" t="s">
        <v>8</v>
      </c>
      <c r="U3" s="3">
        <v>444.7</v>
      </c>
      <c r="V3" s="3">
        <v>384.6</v>
      </c>
      <c r="W3" s="3">
        <v>278.57</v>
      </c>
      <c r="X3" s="3">
        <v>631.48</v>
      </c>
      <c r="Y3" s="3">
        <v>482.65</v>
      </c>
      <c r="Z3" s="3">
        <v>322.29000000000002</v>
      </c>
      <c r="AA3" s="3">
        <v>251.14</v>
      </c>
      <c r="AB3" s="3">
        <v>334.74</v>
      </c>
      <c r="AC3" s="3">
        <v>285.83999999999997</v>
      </c>
      <c r="AD3" s="3">
        <v>310.57</v>
      </c>
      <c r="AE3" s="3">
        <v>134.99</v>
      </c>
      <c r="AF3" s="3">
        <v>420.46</v>
      </c>
      <c r="AG3" s="3">
        <v>134.25</v>
      </c>
      <c r="AH3" s="3">
        <v>79.08</v>
      </c>
      <c r="AI3" s="3">
        <v>62.24</v>
      </c>
      <c r="AJ3" s="3">
        <v>152.63</v>
      </c>
      <c r="AK3" s="3">
        <v>79.81</v>
      </c>
      <c r="AL3" s="3">
        <v>85.82</v>
      </c>
      <c r="AM3" s="3">
        <v>88.53</v>
      </c>
      <c r="AN3" s="3">
        <v>112.21</v>
      </c>
      <c r="AO3" s="3">
        <v>76.08</v>
      </c>
      <c r="AP3" s="3">
        <v>84.09</v>
      </c>
      <c r="AQ3" s="3">
        <v>90.53</v>
      </c>
      <c r="AR3" s="3">
        <v>149.30000000000001</v>
      </c>
      <c r="AS3" s="3">
        <v>103.01</v>
      </c>
      <c r="AT3" s="3">
        <v>95.09</v>
      </c>
      <c r="AU3" s="3">
        <v>92.39</v>
      </c>
      <c r="AV3" s="3">
        <v>167.65</v>
      </c>
    </row>
    <row r="4" spans="1:48" ht="15.75" thickBot="1" x14ac:dyDescent="0.3">
      <c r="A4" s="1" t="s">
        <v>9</v>
      </c>
      <c r="B4" s="2">
        <v>32399.48</v>
      </c>
      <c r="C4" s="2">
        <v>32959.660000000003</v>
      </c>
      <c r="D4" s="2">
        <v>36634.78</v>
      </c>
      <c r="E4" s="2">
        <v>34681.9</v>
      </c>
      <c r="F4" s="2">
        <v>33223.17</v>
      </c>
      <c r="G4" s="2">
        <v>32341.62</v>
      </c>
      <c r="H4" s="2">
        <v>34275.25</v>
      </c>
      <c r="I4" s="2">
        <v>30465.29</v>
      </c>
      <c r="J4" s="2">
        <v>32244.99</v>
      </c>
      <c r="K4" s="2">
        <v>32021.09</v>
      </c>
      <c r="L4" s="2">
        <v>36680.93</v>
      </c>
      <c r="M4" s="2">
        <v>31964.25</v>
      </c>
      <c r="N4" s="2">
        <v>32582.27</v>
      </c>
      <c r="O4" s="2">
        <v>20798.310000000001</v>
      </c>
      <c r="P4" s="2">
        <v>21202.58</v>
      </c>
      <c r="Q4" s="2">
        <v>17965.66</v>
      </c>
      <c r="R4" s="2">
        <v>16361.98</v>
      </c>
      <c r="S4" s="2">
        <v>9338.7800000000007</v>
      </c>
      <c r="T4" s="2">
        <v>14211.43</v>
      </c>
      <c r="U4" s="2">
        <v>15262.04</v>
      </c>
      <c r="V4" s="2">
        <v>14871.18</v>
      </c>
      <c r="W4" s="2">
        <v>16091.32</v>
      </c>
      <c r="X4" s="2">
        <v>19129.55</v>
      </c>
      <c r="Y4" s="2">
        <v>17173.87</v>
      </c>
      <c r="Z4" s="2">
        <v>17902.04</v>
      </c>
      <c r="AA4" s="2">
        <v>16405.46</v>
      </c>
      <c r="AB4" s="2">
        <v>16280.94</v>
      </c>
      <c r="AC4" s="2">
        <v>15595.78</v>
      </c>
      <c r="AD4" s="2">
        <v>14220.93</v>
      </c>
      <c r="AE4" s="2">
        <v>12970.62</v>
      </c>
      <c r="AF4" s="2">
        <v>15638.92</v>
      </c>
      <c r="AG4" s="2">
        <v>12631.85</v>
      </c>
      <c r="AH4" s="2">
        <v>10601.77</v>
      </c>
      <c r="AI4" s="2">
        <v>9120.48</v>
      </c>
      <c r="AJ4" s="2">
        <v>10611.18</v>
      </c>
      <c r="AK4" s="2">
        <v>9033.41</v>
      </c>
      <c r="AL4" s="2">
        <v>9548.77</v>
      </c>
      <c r="AM4" s="2">
        <v>9075.31</v>
      </c>
      <c r="AN4" s="2">
        <v>10634.89</v>
      </c>
      <c r="AO4" s="2">
        <v>9896.7800000000007</v>
      </c>
      <c r="AP4" s="2">
        <v>10785.07</v>
      </c>
      <c r="AQ4" s="2">
        <v>10468.26</v>
      </c>
      <c r="AR4" s="2">
        <v>12191.22</v>
      </c>
      <c r="AS4" s="2">
        <v>10143.379999999999</v>
      </c>
      <c r="AT4" s="2">
        <v>9921.0400000000009</v>
      </c>
      <c r="AU4" s="2">
        <v>9455.39</v>
      </c>
      <c r="AV4" s="2">
        <v>10770.53</v>
      </c>
    </row>
    <row r="5" spans="1:48" ht="15.75" thickBot="1" x14ac:dyDescent="0.3">
      <c r="A5" s="11" t="s">
        <v>10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5.75" thickBot="1" x14ac:dyDescent="0.3">
      <c r="A6" s="1" t="s">
        <v>11</v>
      </c>
      <c r="B6" s="2">
        <v>11270.37</v>
      </c>
      <c r="C6" s="2">
        <v>10442.01</v>
      </c>
      <c r="D6" s="2">
        <v>11725.34</v>
      </c>
      <c r="E6" s="2">
        <v>11171.1</v>
      </c>
      <c r="F6" s="2">
        <v>11530.13</v>
      </c>
      <c r="G6" s="2">
        <v>11827.67</v>
      </c>
      <c r="H6" s="2">
        <v>10948.76</v>
      </c>
      <c r="I6" s="2">
        <v>12676.57</v>
      </c>
      <c r="J6" s="2">
        <v>14994.74</v>
      </c>
      <c r="K6" s="2">
        <v>15391.43</v>
      </c>
      <c r="L6" s="2">
        <v>11438.3</v>
      </c>
      <c r="M6" s="2">
        <v>9967.84</v>
      </c>
      <c r="N6" s="2">
        <v>7994.25</v>
      </c>
      <c r="O6" s="2">
        <v>4046</v>
      </c>
      <c r="P6" s="2">
        <v>3899.15</v>
      </c>
      <c r="Q6" s="2">
        <v>3778.44</v>
      </c>
      <c r="R6" s="2">
        <v>3758.1</v>
      </c>
      <c r="S6" s="2">
        <v>2432.91</v>
      </c>
      <c r="T6" s="2">
        <v>3934.47</v>
      </c>
      <c r="U6" s="2">
        <v>3929.42</v>
      </c>
      <c r="V6" s="2">
        <v>4843.12</v>
      </c>
      <c r="W6" s="2">
        <v>4700.0200000000004</v>
      </c>
      <c r="X6" s="2">
        <v>5162.21</v>
      </c>
      <c r="Y6" s="2">
        <v>5332.44</v>
      </c>
      <c r="Z6" s="2">
        <v>4769.16</v>
      </c>
      <c r="AA6" s="2">
        <v>4576.4799999999996</v>
      </c>
      <c r="AB6" s="2">
        <v>3998.11</v>
      </c>
      <c r="AC6" s="2">
        <v>4210.96</v>
      </c>
      <c r="AD6" s="2">
        <v>4448.9799999999996</v>
      </c>
      <c r="AE6" s="2">
        <v>4219.58</v>
      </c>
      <c r="AF6" s="2">
        <v>4247.45</v>
      </c>
      <c r="AG6" s="2">
        <v>3297.56</v>
      </c>
      <c r="AH6" s="2">
        <v>2643.85</v>
      </c>
      <c r="AI6" s="2">
        <v>2307.92</v>
      </c>
      <c r="AJ6" s="2">
        <v>2158.7800000000002</v>
      </c>
      <c r="AK6" s="2">
        <v>2340.6</v>
      </c>
      <c r="AL6" s="2">
        <v>2870.93</v>
      </c>
      <c r="AM6" s="2">
        <v>2329.6999999999998</v>
      </c>
      <c r="AN6" s="2">
        <v>2713.05</v>
      </c>
      <c r="AO6" s="2">
        <v>3709.08</v>
      </c>
      <c r="AP6" s="2">
        <v>2721.71</v>
      </c>
      <c r="AQ6" s="2">
        <v>2563.9899999999998</v>
      </c>
      <c r="AR6" s="2">
        <v>2743.23</v>
      </c>
      <c r="AS6" s="2">
        <v>2215.0500000000002</v>
      </c>
      <c r="AT6" s="2">
        <v>2413.92</v>
      </c>
      <c r="AU6" s="2">
        <v>2305.5100000000002</v>
      </c>
      <c r="AV6" s="2">
        <v>2418.73</v>
      </c>
    </row>
    <row r="7" spans="1:48" ht="15.75" thickBot="1" x14ac:dyDescent="0.3">
      <c r="A7" s="1" t="s">
        <v>12</v>
      </c>
      <c r="B7" s="2">
        <v>2537.1799999999998</v>
      </c>
      <c r="C7" s="2">
        <v>2860.93</v>
      </c>
      <c r="D7" s="2">
        <v>2288.3200000000002</v>
      </c>
      <c r="E7" s="2">
        <v>2281.13</v>
      </c>
      <c r="F7" s="2">
        <v>2532.0500000000002</v>
      </c>
      <c r="G7" s="2">
        <v>2882.45</v>
      </c>
      <c r="H7" s="2">
        <v>2260.3200000000002</v>
      </c>
      <c r="I7" s="2">
        <v>1921.44</v>
      </c>
      <c r="J7" s="2">
        <v>1341.02</v>
      </c>
      <c r="K7" s="2">
        <v>1944.52</v>
      </c>
      <c r="L7" s="2">
        <v>1208.4100000000001</v>
      </c>
      <c r="M7" s="2">
        <v>1062.04</v>
      </c>
      <c r="N7" s="3">
        <v>814.25</v>
      </c>
      <c r="O7" s="3">
        <v>477.25</v>
      </c>
      <c r="P7" s="3">
        <v>476.78</v>
      </c>
      <c r="Q7" s="3">
        <v>387.43</v>
      </c>
      <c r="R7" s="3">
        <v>198.53</v>
      </c>
      <c r="S7" s="3">
        <v>83.31</v>
      </c>
      <c r="T7" s="3">
        <v>403.26</v>
      </c>
      <c r="U7" s="3">
        <v>280.25</v>
      </c>
      <c r="V7" s="3">
        <v>307.44</v>
      </c>
      <c r="W7" s="3">
        <v>572.15</v>
      </c>
      <c r="X7" s="3">
        <v>372.12</v>
      </c>
      <c r="Y7" s="3">
        <v>495.62</v>
      </c>
      <c r="Z7" s="3">
        <v>569.17999999999995</v>
      </c>
      <c r="AA7" s="3">
        <v>370.93</v>
      </c>
      <c r="AB7" s="3">
        <v>212.5</v>
      </c>
      <c r="AC7" s="3">
        <v>90.88</v>
      </c>
      <c r="AD7" s="3">
        <v>81.260000000000005</v>
      </c>
      <c r="AE7" s="3">
        <v>262.57</v>
      </c>
      <c r="AF7" s="3">
        <v>206.44</v>
      </c>
      <c r="AG7" s="3">
        <v>197.13</v>
      </c>
      <c r="AH7" s="3">
        <v>212.77</v>
      </c>
      <c r="AI7" s="3">
        <v>264.83999999999997</v>
      </c>
      <c r="AJ7" s="3">
        <v>224.24</v>
      </c>
      <c r="AK7" s="3">
        <v>333.35</v>
      </c>
      <c r="AL7" s="3">
        <v>197.52</v>
      </c>
      <c r="AM7" s="3">
        <v>236.43</v>
      </c>
      <c r="AN7" s="3">
        <v>212.42</v>
      </c>
      <c r="AO7" s="3">
        <v>231.71</v>
      </c>
      <c r="AP7" s="3">
        <v>176.27</v>
      </c>
      <c r="AQ7" s="3">
        <v>67.92</v>
      </c>
      <c r="AR7" s="3">
        <v>54</v>
      </c>
      <c r="AS7" s="3">
        <v>64.84</v>
      </c>
      <c r="AT7" s="3">
        <v>90.72</v>
      </c>
      <c r="AU7" s="3">
        <v>143.07</v>
      </c>
      <c r="AV7" s="3">
        <v>117.94</v>
      </c>
    </row>
    <row r="8" spans="1:48" ht="15.75" thickBot="1" x14ac:dyDescent="0.3">
      <c r="A8" s="1" t="s">
        <v>13</v>
      </c>
      <c r="B8" s="3">
        <v>106.61</v>
      </c>
      <c r="C8" s="3">
        <v>-540.27</v>
      </c>
      <c r="D8" s="2">
        <v>1186.31</v>
      </c>
      <c r="E8" s="3">
        <v>-922.43</v>
      </c>
      <c r="F8" s="3">
        <v>540.08000000000004</v>
      </c>
      <c r="G8" s="3">
        <v>-519.79</v>
      </c>
      <c r="H8" s="2">
        <v>1470.57</v>
      </c>
      <c r="I8" s="3">
        <v>451.24</v>
      </c>
      <c r="J8" s="2">
        <v>1498.57</v>
      </c>
      <c r="K8" s="2">
        <v>-4562.4399999999996</v>
      </c>
      <c r="L8" s="2">
        <v>1825.56</v>
      </c>
      <c r="M8" s="2">
        <v>-1692.67</v>
      </c>
      <c r="N8" s="3">
        <v>-627.52</v>
      </c>
      <c r="O8" s="2">
        <v>-1016.12</v>
      </c>
      <c r="P8" s="3">
        <v>-104.33</v>
      </c>
      <c r="Q8" s="3">
        <v>307.04000000000002</v>
      </c>
      <c r="R8" s="2">
        <v>1216.22</v>
      </c>
      <c r="S8" s="3">
        <v>45.19</v>
      </c>
      <c r="T8" s="3">
        <v>-980.06</v>
      </c>
      <c r="U8" s="2">
        <v>1325.77</v>
      </c>
      <c r="V8" s="3">
        <v>-365.81</v>
      </c>
      <c r="W8" s="3">
        <v>-544.29999999999995</v>
      </c>
      <c r="X8" s="2">
        <v>1170.31</v>
      </c>
      <c r="Y8" s="3">
        <v>-927.7</v>
      </c>
      <c r="Z8" s="3">
        <v>-142.30000000000001</v>
      </c>
      <c r="AA8" s="3">
        <v>-654.64</v>
      </c>
      <c r="AB8" s="3">
        <v>102</v>
      </c>
      <c r="AC8" s="3">
        <v>429.04</v>
      </c>
      <c r="AD8" s="3">
        <v>918.89</v>
      </c>
      <c r="AE8" s="3">
        <v>-904.57</v>
      </c>
      <c r="AF8" s="3">
        <v>96.15</v>
      </c>
      <c r="AG8" s="3">
        <v>-488.22</v>
      </c>
      <c r="AH8" s="3">
        <v>159.47</v>
      </c>
      <c r="AI8" s="2">
        <v>-1097.05</v>
      </c>
      <c r="AJ8" s="3">
        <v>665.14</v>
      </c>
      <c r="AK8" s="3">
        <v>-174.55</v>
      </c>
      <c r="AL8" s="3">
        <v>-141.56</v>
      </c>
      <c r="AM8" s="3">
        <v>-278.27999999999997</v>
      </c>
      <c r="AN8" s="3">
        <v>564.47</v>
      </c>
      <c r="AO8" s="3">
        <v>-662</v>
      </c>
      <c r="AP8" s="3">
        <v>-304.18</v>
      </c>
      <c r="AQ8" s="3">
        <v>-343.46</v>
      </c>
      <c r="AR8" s="3">
        <v>296.41000000000003</v>
      </c>
      <c r="AS8" s="3">
        <v>36.47</v>
      </c>
      <c r="AT8" s="3">
        <v>-158.62</v>
      </c>
      <c r="AU8" s="3">
        <v>-329.44</v>
      </c>
      <c r="AV8" s="3">
        <v>576.12</v>
      </c>
    </row>
    <row r="9" spans="1:48" ht="15.75" thickBot="1" x14ac:dyDescent="0.3">
      <c r="A9" s="1" t="s">
        <v>14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 t="s">
        <v>8</v>
      </c>
      <c r="AE9" s="3" t="s">
        <v>8</v>
      </c>
      <c r="AF9" s="3" t="s">
        <v>8</v>
      </c>
      <c r="AG9" s="3">
        <v>705.09</v>
      </c>
      <c r="AH9" s="3">
        <v>699.21</v>
      </c>
      <c r="AI9" s="3">
        <v>687.06</v>
      </c>
      <c r="AJ9" s="3" t="s">
        <v>8</v>
      </c>
      <c r="AK9" s="3">
        <v>589.78</v>
      </c>
      <c r="AL9" s="3">
        <v>584.25</v>
      </c>
      <c r="AM9" s="3">
        <v>609.65</v>
      </c>
      <c r="AN9" s="3">
        <v>634.82000000000005</v>
      </c>
      <c r="AO9" s="3">
        <v>536.61</v>
      </c>
      <c r="AP9" s="3">
        <v>677.45</v>
      </c>
      <c r="AQ9" s="3">
        <v>721.28</v>
      </c>
      <c r="AR9" s="3">
        <v>617.67999999999995</v>
      </c>
      <c r="AS9" s="3">
        <v>637.52</v>
      </c>
      <c r="AT9" s="3">
        <v>656.88</v>
      </c>
      <c r="AU9" s="3">
        <v>652.53</v>
      </c>
      <c r="AV9" s="3">
        <v>561.28</v>
      </c>
    </row>
    <row r="10" spans="1:48" ht="15.75" thickBot="1" x14ac:dyDescent="0.3">
      <c r="A10" s="6" t="s">
        <v>15</v>
      </c>
      <c r="B10" s="2">
        <v>1940.13</v>
      </c>
      <c r="C10" s="2">
        <v>2125.0700000000002</v>
      </c>
      <c r="D10" s="2">
        <v>1956.99</v>
      </c>
      <c r="E10" s="2">
        <v>1866.53</v>
      </c>
      <c r="F10" s="2">
        <v>1774.86</v>
      </c>
      <c r="G10" s="2">
        <v>1565.45</v>
      </c>
      <c r="H10" s="2">
        <v>1819.53</v>
      </c>
      <c r="I10" s="2">
        <v>1609.79</v>
      </c>
      <c r="J10" s="2">
        <v>1646.82</v>
      </c>
      <c r="K10" s="2">
        <v>1540.15</v>
      </c>
      <c r="L10" s="2">
        <v>1723.17</v>
      </c>
      <c r="M10" s="2">
        <v>1553.12</v>
      </c>
      <c r="N10" s="2">
        <v>1543.07</v>
      </c>
      <c r="O10" s="2">
        <v>1378.28</v>
      </c>
      <c r="P10" s="2">
        <v>1352.55</v>
      </c>
      <c r="Q10" s="2">
        <v>1340.87</v>
      </c>
      <c r="R10" s="2">
        <v>1195.69</v>
      </c>
      <c r="S10" s="2">
        <v>1309.71</v>
      </c>
      <c r="T10" s="2">
        <v>1370.83</v>
      </c>
      <c r="U10" s="2">
        <v>1035.48</v>
      </c>
      <c r="V10" s="2">
        <v>1277.98</v>
      </c>
      <c r="W10" s="2">
        <v>1352.33</v>
      </c>
      <c r="X10" s="2">
        <v>1158.6500000000001</v>
      </c>
      <c r="Y10" s="2">
        <v>1312.94</v>
      </c>
      <c r="Z10" s="2">
        <v>1377.48</v>
      </c>
      <c r="AA10" s="2">
        <v>1281.99</v>
      </c>
      <c r="AB10" s="2">
        <v>1409.41</v>
      </c>
      <c r="AC10" s="2">
        <v>1146.6400000000001</v>
      </c>
      <c r="AD10" s="2">
        <v>1115.1099999999999</v>
      </c>
      <c r="AE10" s="2">
        <v>1157.69</v>
      </c>
      <c r="AF10" s="2">
        <v>1061.1199999999999</v>
      </c>
      <c r="AG10" s="2">
        <v>1202.78</v>
      </c>
      <c r="AH10" s="2">
        <v>1180.8699999999999</v>
      </c>
      <c r="AI10" s="2">
        <v>1160.3599999999999</v>
      </c>
      <c r="AJ10" s="2">
        <v>1042.3699999999999</v>
      </c>
      <c r="AK10" s="2">
        <v>1130.58</v>
      </c>
      <c r="AL10" s="2">
        <v>1081.2</v>
      </c>
      <c r="AM10" s="2">
        <v>1065.74</v>
      </c>
      <c r="AN10" s="2">
        <v>1168.07</v>
      </c>
      <c r="AO10" s="2">
        <v>1167.4100000000001</v>
      </c>
      <c r="AP10" s="2">
        <v>1143.33</v>
      </c>
      <c r="AQ10" s="2">
        <v>1130.26</v>
      </c>
      <c r="AR10" s="3">
        <v>797.52</v>
      </c>
      <c r="AS10" s="3">
        <v>903.95</v>
      </c>
      <c r="AT10" s="3">
        <v>977.33</v>
      </c>
      <c r="AU10" s="2">
        <v>1002.78</v>
      </c>
      <c r="AV10" s="2">
        <v>1035.54</v>
      </c>
    </row>
    <row r="11" spans="1:48" ht="15.75" thickBot="1" x14ac:dyDescent="0.3">
      <c r="A11" s="1" t="s">
        <v>16</v>
      </c>
      <c r="B11" s="2">
        <v>1556.36</v>
      </c>
      <c r="C11" s="2">
        <v>1521.58</v>
      </c>
      <c r="D11" s="2">
        <v>1527.84</v>
      </c>
      <c r="E11" s="2">
        <v>1507.61</v>
      </c>
      <c r="F11" s="2">
        <v>1425.74</v>
      </c>
      <c r="G11" s="2">
        <v>1332.29</v>
      </c>
      <c r="H11" s="2">
        <v>1371.17</v>
      </c>
      <c r="I11" s="2">
        <v>1370.54</v>
      </c>
      <c r="J11" s="2">
        <v>1348.93</v>
      </c>
      <c r="K11" s="2">
        <v>1343.97</v>
      </c>
      <c r="L11" s="2">
        <v>1379.78</v>
      </c>
      <c r="M11" s="2">
        <v>1360.2</v>
      </c>
      <c r="N11" s="2">
        <v>1351.98</v>
      </c>
      <c r="O11" s="3">
        <v>974.89</v>
      </c>
      <c r="P11" s="2">
        <v>1040.95</v>
      </c>
      <c r="Q11" s="3">
        <v>971.08</v>
      </c>
      <c r="R11" s="2">
        <v>1006</v>
      </c>
      <c r="S11" s="3">
        <v>969.29</v>
      </c>
      <c r="T11" s="2">
        <v>1002.26</v>
      </c>
      <c r="U11" s="3">
        <v>979.87</v>
      </c>
      <c r="V11" s="3">
        <v>970.33</v>
      </c>
      <c r="W11" s="3">
        <v>967.66</v>
      </c>
      <c r="X11" s="3">
        <v>952.94</v>
      </c>
      <c r="Y11" s="3">
        <v>939.73</v>
      </c>
      <c r="Z11" s="3">
        <v>923.62</v>
      </c>
      <c r="AA11" s="3">
        <v>986.67</v>
      </c>
      <c r="AB11" s="3">
        <v>934.77</v>
      </c>
      <c r="AC11" s="3">
        <v>913.86</v>
      </c>
      <c r="AD11" s="3">
        <v>912.42</v>
      </c>
      <c r="AE11" s="3">
        <v>966.41</v>
      </c>
      <c r="AF11" s="2">
        <v>1057.49</v>
      </c>
      <c r="AG11" s="3">
        <v>869.44</v>
      </c>
      <c r="AH11" s="3">
        <v>911.65</v>
      </c>
      <c r="AI11" s="3">
        <v>702.97</v>
      </c>
      <c r="AJ11" s="3">
        <v>753.62</v>
      </c>
      <c r="AK11" s="3">
        <v>736.14</v>
      </c>
      <c r="AL11" s="3">
        <v>743.43</v>
      </c>
      <c r="AM11" s="3">
        <v>729.09</v>
      </c>
      <c r="AN11" s="3">
        <v>572.46</v>
      </c>
      <c r="AO11" s="3">
        <v>457.3</v>
      </c>
      <c r="AP11" s="3">
        <v>474.57</v>
      </c>
      <c r="AQ11" s="3">
        <v>493.26</v>
      </c>
      <c r="AR11" s="3">
        <v>461.63</v>
      </c>
      <c r="AS11" s="3">
        <v>456.46</v>
      </c>
      <c r="AT11" s="3">
        <v>551.03</v>
      </c>
      <c r="AU11" s="3">
        <v>459.58</v>
      </c>
      <c r="AV11" s="3">
        <v>460.77</v>
      </c>
    </row>
    <row r="12" spans="1:48" ht="15.75" thickBot="1" x14ac:dyDescent="0.3">
      <c r="A12" s="1" t="s">
        <v>17</v>
      </c>
      <c r="B12" s="3" t="s">
        <v>8</v>
      </c>
      <c r="C12" s="3" t="s">
        <v>8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  <c r="AS12" s="3" t="s">
        <v>8</v>
      </c>
      <c r="AT12" s="3" t="s">
        <v>8</v>
      </c>
      <c r="AU12" s="3" t="s">
        <v>8</v>
      </c>
      <c r="AV12" s="3" t="s">
        <v>8</v>
      </c>
    </row>
    <row r="13" spans="1:48" ht="15.75" thickBot="1" x14ac:dyDescent="0.3">
      <c r="A13" s="6" t="s">
        <v>18</v>
      </c>
      <c r="B13" s="3" t="s">
        <v>8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8</v>
      </c>
      <c r="H13" s="3" t="s">
        <v>8</v>
      </c>
      <c r="I13" s="3" t="s">
        <v>8</v>
      </c>
      <c r="J13" s="3" t="s">
        <v>8</v>
      </c>
      <c r="K13" s="3" t="s">
        <v>8</v>
      </c>
      <c r="L13" s="3" t="s">
        <v>8</v>
      </c>
      <c r="M13" s="3" t="s">
        <v>8</v>
      </c>
      <c r="N13" s="3" t="s">
        <v>8</v>
      </c>
      <c r="O13" s="3" t="s">
        <v>8</v>
      </c>
      <c r="P13" s="3" t="s">
        <v>8</v>
      </c>
      <c r="Q13" s="3" t="s">
        <v>8</v>
      </c>
      <c r="R13" s="3" t="s">
        <v>8</v>
      </c>
      <c r="S13" s="3" t="s">
        <v>8</v>
      </c>
      <c r="T13" s="3" t="s">
        <v>8</v>
      </c>
      <c r="U13" s="3" t="s">
        <v>8</v>
      </c>
      <c r="V13" s="3" t="s">
        <v>8</v>
      </c>
      <c r="W13" s="3" t="s">
        <v>8</v>
      </c>
      <c r="X13" s="3" t="s">
        <v>8</v>
      </c>
      <c r="Y13" s="3" t="s">
        <v>8</v>
      </c>
      <c r="Z13" s="3" t="s">
        <v>8</v>
      </c>
      <c r="AA13" s="3" t="s">
        <v>8</v>
      </c>
      <c r="AB13" s="3" t="s">
        <v>8</v>
      </c>
      <c r="AC13" s="3" t="s">
        <v>8</v>
      </c>
      <c r="AD13" s="3" t="s">
        <v>8</v>
      </c>
      <c r="AE13" s="3" t="s">
        <v>8</v>
      </c>
      <c r="AF13" s="3" t="s">
        <v>8</v>
      </c>
      <c r="AG13" s="3" t="s">
        <v>8</v>
      </c>
      <c r="AH13" s="3" t="s">
        <v>8</v>
      </c>
      <c r="AI13" s="3" t="s">
        <v>8</v>
      </c>
      <c r="AJ13" s="3" t="s">
        <v>8</v>
      </c>
      <c r="AK13" s="3" t="s">
        <v>8</v>
      </c>
      <c r="AL13" s="3" t="s">
        <v>8</v>
      </c>
      <c r="AM13" s="3" t="s">
        <v>8</v>
      </c>
      <c r="AN13" s="3" t="s">
        <v>8</v>
      </c>
      <c r="AO13" s="3" t="s">
        <v>8</v>
      </c>
      <c r="AP13" s="3" t="s">
        <v>8</v>
      </c>
      <c r="AQ13" s="3" t="s">
        <v>8</v>
      </c>
      <c r="AR13" s="3" t="s">
        <v>8</v>
      </c>
      <c r="AS13" s="3" t="s">
        <v>8</v>
      </c>
      <c r="AT13" s="3" t="s">
        <v>8</v>
      </c>
      <c r="AU13" s="3" t="s">
        <v>8</v>
      </c>
      <c r="AV13" s="3" t="s">
        <v>8</v>
      </c>
    </row>
    <row r="14" spans="1:48" ht="15.75" thickBot="1" x14ac:dyDescent="0.3">
      <c r="A14" s="6" t="s">
        <v>19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  <c r="AR14" s="3" t="s">
        <v>8</v>
      </c>
      <c r="AS14" s="3" t="s">
        <v>8</v>
      </c>
      <c r="AT14" s="3" t="s">
        <v>8</v>
      </c>
      <c r="AU14" s="3" t="s">
        <v>8</v>
      </c>
      <c r="AV14" s="3" t="s">
        <v>8</v>
      </c>
    </row>
    <row r="15" spans="1:48" ht="15.75" thickBot="1" x14ac:dyDescent="0.3">
      <c r="A15" s="1" t="s">
        <v>20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 t="s">
        <v>8</v>
      </c>
      <c r="AM15" s="3" t="s">
        <v>8</v>
      </c>
      <c r="AN15" s="3" t="s">
        <v>8</v>
      </c>
      <c r="AO15" s="3" t="s">
        <v>8</v>
      </c>
      <c r="AP15" s="3" t="s">
        <v>8</v>
      </c>
      <c r="AQ15" s="3" t="s">
        <v>8</v>
      </c>
      <c r="AR15" s="3" t="s">
        <v>8</v>
      </c>
      <c r="AS15" s="3" t="s">
        <v>8</v>
      </c>
      <c r="AT15" s="3" t="s">
        <v>8</v>
      </c>
      <c r="AU15" s="3" t="s">
        <v>8</v>
      </c>
      <c r="AV15" s="3" t="s">
        <v>8</v>
      </c>
    </row>
    <row r="16" spans="1:48" ht="15.75" thickBot="1" x14ac:dyDescent="0.3">
      <c r="A16" s="1" t="s">
        <v>21</v>
      </c>
      <c r="B16" s="3" t="s">
        <v>8</v>
      </c>
      <c r="C16" s="3" t="s">
        <v>8</v>
      </c>
      <c r="D16" s="3" t="s">
        <v>8</v>
      </c>
      <c r="E16" s="3" t="s">
        <v>8</v>
      </c>
      <c r="F16" s="3" t="s">
        <v>8</v>
      </c>
      <c r="G16" s="3" t="s">
        <v>8</v>
      </c>
      <c r="H16" s="3" t="s">
        <v>8</v>
      </c>
      <c r="I16" s="3" t="s">
        <v>8</v>
      </c>
      <c r="J16" s="3" t="s">
        <v>8</v>
      </c>
      <c r="K16" s="3" t="s">
        <v>8</v>
      </c>
      <c r="L16" s="3" t="s">
        <v>8</v>
      </c>
      <c r="M16" s="3" t="s">
        <v>8</v>
      </c>
      <c r="N16" s="3" t="s">
        <v>8</v>
      </c>
      <c r="O16" s="3" t="s">
        <v>8</v>
      </c>
      <c r="P16" s="3" t="s">
        <v>8</v>
      </c>
      <c r="Q16" s="3" t="s">
        <v>8</v>
      </c>
      <c r="R16" s="3" t="s">
        <v>8</v>
      </c>
      <c r="S16" s="3" t="s">
        <v>8</v>
      </c>
      <c r="T16" s="3" t="s">
        <v>8</v>
      </c>
      <c r="U16" s="3" t="s">
        <v>8</v>
      </c>
      <c r="V16" s="3" t="s">
        <v>8</v>
      </c>
      <c r="W16" s="3" t="s">
        <v>8</v>
      </c>
      <c r="X16" s="3" t="s">
        <v>8</v>
      </c>
      <c r="Y16" s="3" t="s">
        <v>8</v>
      </c>
      <c r="Z16" s="3" t="s">
        <v>8</v>
      </c>
      <c r="AA16" s="3" t="s">
        <v>8</v>
      </c>
      <c r="AB16" s="3" t="s">
        <v>8</v>
      </c>
      <c r="AC16" s="3" t="s">
        <v>8</v>
      </c>
      <c r="AD16" s="3" t="s">
        <v>8</v>
      </c>
      <c r="AE16" s="3" t="s">
        <v>8</v>
      </c>
      <c r="AF16" s="3" t="s">
        <v>8</v>
      </c>
      <c r="AG16" s="3" t="s">
        <v>8</v>
      </c>
      <c r="AH16" s="3" t="s">
        <v>8</v>
      </c>
      <c r="AI16" s="3" t="s">
        <v>8</v>
      </c>
      <c r="AJ16" s="3" t="s">
        <v>8</v>
      </c>
      <c r="AK16" s="3" t="s">
        <v>8</v>
      </c>
      <c r="AL16" s="3" t="s">
        <v>8</v>
      </c>
      <c r="AM16" s="3" t="s">
        <v>8</v>
      </c>
      <c r="AN16" s="3" t="s">
        <v>8</v>
      </c>
      <c r="AO16" s="3" t="s">
        <v>8</v>
      </c>
      <c r="AP16" s="3" t="s">
        <v>8</v>
      </c>
      <c r="AQ16" s="3" t="s">
        <v>8</v>
      </c>
      <c r="AR16" s="3" t="s">
        <v>8</v>
      </c>
      <c r="AS16" s="3" t="s">
        <v>8</v>
      </c>
      <c r="AT16" s="3" t="s">
        <v>8</v>
      </c>
      <c r="AU16" s="3" t="s">
        <v>8</v>
      </c>
      <c r="AV16" s="3" t="s">
        <v>8</v>
      </c>
    </row>
    <row r="17" spans="1:48" ht="15.75" thickBot="1" x14ac:dyDescent="0.3">
      <c r="A17" s="6" t="s">
        <v>22</v>
      </c>
      <c r="B17" s="2">
        <v>9935.42</v>
      </c>
      <c r="C17" s="2">
        <v>11298.58</v>
      </c>
      <c r="D17" s="2">
        <v>11431.49</v>
      </c>
      <c r="E17" s="2">
        <v>12035.93</v>
      </c>
      <c r="F17" s="2">
        <v>10095.26</v>
      </c>
      <c r="G17" s="2">
        <v>10126.780000000001</v>
      </c>
      <c r="H17" s="2">
        <v>9645.85</v>
      </c>
      <c r="I17" s="2">
        <v>8646.56</v>
      </c>
      <c r="J17" s="2">
        <v>7919.8</v>
      </c>
      <c r="K17" s="2">
        <v>8139.41</v>
      </c>
      <c r="L17" s="2">
        <v>8251.24</v>
      </c>
      <c r="M17" s="2">
        <v>8905.8799999999992</v>
      </c>
      <c r="N17" s="2">
        <v>9428.18</v>
      </c>
      <c r="O17" s="2">
        <v>5707.89</v>
      </c>
      <c r="P17" s="2">
        <v>6390.65</v>
      </c>
      <c r="Q17" s="2">
        <v>5450.02</v>
      </c>
      <c r="R17" s="2">
        <v>5368.77</v>
      </c>
      <c r="S17" s="2">
        <v>4216.62</v>
      </c>
      <c r="T17" s="2">
        <v>5834.25</v>
      </c>
      <c r="U17" s="2">
        <v>4913.32</v>
      </c>
      <c r="V17" s="2">
        <v>5330.22</v>
      </c>
      <c r="W17" s="2">
        <v>6054.26</v>
      </c>
      <c r="X17" s="2">
        <v>6320.79</v>
      </c>
      <c r="Y17" s="2">
        <v>6411.15</v>
      </c>
      <c r="Z17" s="2">
        <v>5332.41</v>
      </c>
      <c r="AA17" s="2">
        <v>5758.76</v>
      </c>
      <c r="AB17" s="2">
        <v>5749.6</v>
      </c>
      <c r="AC17" s="2">
        <v>5090.1499999999996</v>
      </c>
      <c r="AD17" s="2">
        <v>4281.4399999999996</v>
      </c>
      <c r="AE17" s="2">
        <v>5269.07</v>
      </c>
      <c r="AF17" s="2">
        <v>5666.8</v>
      </c>
      <c r="AG17" s="2">
        <v>4338.6499999999996</v>
      </c>
      <c r="AH17" s="2">
        <v>3790.83</v>
      </c>
      <c r="AI17" s="2">
        <v>3575.99</v>
      </c>
      <c r="AJ17" s="2">
        <v>4314</v>
      </c>
      <c r="AK17" s="2">
        <v>3217.82</v>
      </c>
      <c r="AL17" s="2">
        <v>3018.75</v>
      </c>
      <c r="AM17" s="2">
        <v>3240.44</v>
      </c>
      <c r="AN17" s="2">
        <v>3663.16</v>
      </c>
      <c r="AO17" s="2">
        <v>2934.06</v>
      </c>
      <c r="AP17" s="2">
        <v>3276.36</v>
      </c>
      <c r="AQ17" s="2">
        <v>3072.41</v>
      </c>
      <c r="AR17" s="2">
        <v>3573.61</v>
      </c>
      <c r="AS17" s="2">
        <v>3349.67</v>
      </c>
      <c r="AT17" s="2">
        <v>3002.89</v>
      </c>
      <c r="AU17" s="2">
        <v>2846.61</v>
      </c>
      <c r="AV17" s="2">
        <v>2756.9</v>
      </c>
    </row>
    <row r="18" spans="1:48" ht="15.75" thickBot="1" x14ac:dyDescent="0.3">
      <c r="A18" s="1" t="s">
        <v>23</v>
      </c>
      <c r="B18" s="2">
        <v>5053.41</v>
      </c>
      <c r="C18" s="2">
        <v>5251.76</v>
      </c>
      <c r="D18" s="2">
        <v>6518.49</v>
      </c>
      <c r="E18" s="2">
        <v>6742.03</v>
      </c>
      <c r="F18" s="2">
        <v>5325.05</v>
      </c>
      <c r="G18" s="2">
        <v>5126.7700000000004</v>
      </c>
      <c r="H18" s="2">
        <v>6759.05</v>
      </c>
      <c r="I18" s="2">
        <v>3789.15</v>
      </c>
      <c r="J18" s="2">
        <v>3495.11</v>
      </c>
      <c r="K18" s="2">
        <v>8224.0499999999993</v>
      </c>
      <c r="L18" s="2">
        <v>10854.47</v>
      </c>
      <c r="M18" s="2">
        <v>10807.84</v>
      </c>
      <c r="N18" s="2">
        <v>12078.06</v>
      </c>
      <c r="O18" s="2">
        <v>9230.1200000000008</v>
      </c>
      <c r="P18" s="2">
        <v>8146.83</v>
      </c>
      <c r="Q18" s="2">
        <v>5730.78</v>
      </c>
      <c r="R18" s="2">
        <v>3618.67</v>
      </c>
      <c r="S18" s="3">
        <v>281.75</v>
      </c>
      <c r="T18" s="2">
        <v>2646.42</v>
      </c>
      <c r="U18" s="2">
        <v>2797.93</v>
      </c>
      <c r="V18" s="2">
        <v>2507.9</v>
      </c>
      <c r="W18" s="2">
        <v>2989.2</v>
      </c>
      <c r="X18" s="2">
        <v>3992.53</v>
      </c>
      <c r="Y18" s="2">
        <v>3609.69</v>
      </c>
      <c r="Z18" s="2">
        <v>5072.49</v>
      </c>
      <c r="AA18" s="2">
        <v>4085.27</v>
      </c>
      <c r="AB18" s="2">
        <v>3874.55</v>
      </c>
      <c r="AC18" s="2">
        <v>3714.25</v>
      </c>
      <c r="AD18" s="2">
        <v>2462.83</v>
      </c>
      <c r="AE18" s="2">
        <v>1999.87</v>
      </c>
      <c r="AF18" s="2">
        <v>3303.47</v>
      </c>
      <c r="AG18" s="2">
        <v>2509.42</v>
      </c>
      <c r="AH18" s="2">
        <v>1003.12</v>
      </c>
      <c r="AI18" s="2">
        <v>1518.39</v>
      </c>
      <c r="AJ18" s="2">
        <v>1453.03</v>
      </c>
      <c r="AK18" s="3">
        <v>859.69</v>
      </c>
      <c r="AL18" s="2">
        <v>1194.25</v>
      </c>
      <c r="AM18" s="2">
        <v>1142.54</v>
      </c>
      <c r="AN18" s="2">
        <v>1106.44</v>
      </c>
      <c r="AO18" s="2">
        <v>1522.61</v>
      </c>
      <c r="AP18" s="2">
        <v>2619.56</v>
      </c>
      <c r="AQ18" s="2">
        <v>2762.6</v>
      </c>
      <c r="AR18" s="2">
        <v>3647.14</v>
      </c>
      <c r="AS18" s="2">
        <v>2479.42</v>
      </c>
      <c r="AT18" s="2">
        <v>2386.89</v>
      </c>
      <c r="AU18" s="2">
        <v>2374.75</v>
      </c>
      <c r="AV18" s="2">
        <v>2843.25</v>
      </c>
    </row>
    <row r="19" spans="1:48" ht="15.75" thickBot="1" x14ac:dyDescent="0.3">
      <c r="A19" s="1" t="s">
        <v>24</v>
      </c>
      <c r="B19" s="3">
        <v>851.46</v>
      </c>
      <c r="C19" s="3">
        <v>372.38</v>
      </c>
      <c r="D19" s="3">
        <v>481.06</v>
      </c>
      <c r="E19" s="3">
        <v>328.59</v>
      </c>
      <c r="F19" s="3">
        <v>849.83</v>
      </c>
      <c r="G19" s="2">
        <v>1642.07</v>
      </c>
      <c r="H19" s="3">
        <v>665.27</v>
      </c>
      <c r="I19" s="3">
        <v>906.95</v>
      </c>
      <c r="J19" s="2">
        <v>1017.63</v>
      </c>
      <c r="K19" s="3">
        <v>735.63</v>
      </c>
      <c r="L19" s="3">
        <v>506.16</v>
      </c>
      <c r="M19" s="3">
        <v>279.94</v>
      </c>
      <c r="N19" s="3">
        <v>382.12</v>
      </c>
      <c r="O19" s="3">
        <v>264.20999999999998</v>
      </c>
      <c r="P19" s="3">
        <v>189.76</v>
      </c>
      <c r="Q19" s="3">
        <v>140.74</v>
      </c>
      <c r="R19" s="3">
        <v>186.24</v>
      </c>
      <c r="S19" s="3">
        <v>121.15</v>
      </c>
      <c r="T19" s="3">
        <v>71.36</v>
      </c>
      <c r="U19" s="3">
        <v>51.45</v>
      </c>
      <c r="V19" s="3">
        <v>103.47</v>
      </c>
      <c r="W19" s="3">
        <v>177.84</v>
      </c>
      <c r="X19" s="3">
        <v>537.97</v>
      </c>
      <c r="Y19" s="3">
        <v>585.98</v>
      </c>
      <c r="Z19" s="3">
        <v>775.1</v>
      </c>
      <c r="AA19" s="3">
        <v>506.03</v>
      </c>
      <c r="AB19" s="3">
        <v>219.86</v>
      </c>
      <c r="AC19" s="3">
        <v>182.18</v>
      </c>
      <c r="AD19" s="3">
        <v>249.48</v>
      </c>
      <c r="AE19" s="3">
        <v>112.14</v>
      </c>
      <c r="AF19" s="3">
        <v>46.51</v>
      </c>
      <c r="AG19" s="3">
        <v>97.8</v>
      </c>
      <c r="AH19" s="3">
        <v>164.65</v>
      </c>
      <c r="AI19" s="3">
        <v>105.5</v>
      </c>
      <c r="AJ19" s="3">
        <v>134.88999999999999</v>
      </c>
      <c r="AK19" s="3">
        <v>80.37</v>
      </c>
      <c r="AL19" s="3">
        <v>124.42</v>
      </c>
      <c r="AM19" s="3">
        <v>51.48</v>
      </c>
      <c r="AN19" s="3">
        <v>68.599999999999994</v>
      </c>
      <c r="AO19" s="3">
        <v>108.29</v>
      </c>
      <c r="AP19" s="3">
        <v>262.39</v>
      </c>
      <c r="AQ19" s="3">
        <v>143.5</v>
      </c>
      <c r="AR19" s="3">
        <v>52.95</v>
      </c>
      <c r="AS19" s="3">
        <v>264.82</v>
      </c>
      <c r="AT19" s="3">
        <v>325.66000000000003</v>
      </c>
      <c r="AU19" s="3">
        <v>144.21</v>
      </c>
      <c r="AV19" s="3">
        <v>474.74</v>
      </c>
    </row>
    <row r="20" spans="1:48" ht="15.75" thickBot="1" x14ac:dyDescent="0.3">
      <c r="A20" s="1" t="s">
        <v>25</v>
      </c>
      <c r="B20" s="2">
        <v>5904.87</v>
      </c>
      <c r="C20" s="2">
        <v>5624.14</v>
      </c>
      <c r="D20" s="2">
        <v>6999.55</v>
      </c>
      <c r="E20" s="2">
        <v>7070.62</v>
      </c>
      <c r="F20" s="2">
        <v>6174.88</v>
      </c>
      <c r="G20" s="2">
        <v>6768.84</v>
      </c>
      <c r="H20" s="2">
        <v>7424.32</v>
      </c>
      <c r="I20" s="2">
        <v>4696.1000000000004</v>
      </c>
      <c r="J20" s="2">
        <v>4512.74</v>
      </c>
      <c r="K20" s="2">
        <v>8959.68</v>
      </c>
      <c r="L20" s="2">
        <v>11360.63</v>
      </c>
      <c r="M20" s="2">
        <v>11087.78</v>
      </c>
      <c r="N20" s="2">
        <v>12460.18</v>
      </c>
      <c r="O20" s="2">
        <v>9494.33</v>
      </c>
      <c r="P20" s="2">
        <v>8336.59</v>
      </c>
      <c r="Q20" s="2">
        <v>5871.52</v>
      </c>
      <c r="R20" s="2">
        <v>3804.91</v>
      </c>
      <c r="S20" s="3">
        <v>402.9</v>
      </c>
      <c r="T20" s="2">
        <v>2717.78</v>
      </c>
      <c r="U20" s="2">
        <v>2849.38</v>
      </c>
      <c r="V20" s="2">
        <v>2611.37</v>
      </c>
      <c r="W20" s="2">
        <v>3167.04</v>
      </c>
      <c r="X20" s="2">
        <v>4530.5</v>
      </c>
      <c r="Y20" s="2">
        <v>4195.67</v>
      </c>
      <c r="Z20" s="2">
        <v>5847.59</v>
      </c>
      <c r="AA20" s="2">
        <v>4591.3</v>
      </c>
      <c r="AB20" s="2">
        <v>4094.41</v>
      </c>
      <c r="AC20" s="2">
        <v>3896.43</v>
      </c>
      <c r="AD20" s="2">
        <v>2712.31</v>
      </c>
      <c r="AE20" s="2">
        <v>2112.0100000000002</v>
      </c>
      <c r="AF20" s="2">
        <v>3349.98</v>
      </c>
      <c r="AG20" s="2">
        <v>2607.2199999999998</v>
      </c>
      <c r="AH20" s="2">
        <v>1167.77</v>
      </c>
      <c r="AI20" s="2">
        <v>1623.89</v>
      </c>
      <c r="AJ20" s="2">
        <v>1587.92</v>
      </c>
      <c r="AK20" s="3">
        <v>940.06</v>
      </c>
      <c r="AL20" s="2">
        <v>1318.67</v>
      </c>
      <c r="AM20" s="2">
        <v>1194.02</v>
      </c>
      <c r="AN20" s="2">
        <v>1175.04</v>
      </c>
      <c r="AO20" s="2">
        <v>1630.9</v>
      </c>
      <c r="AP20" s="2">
        <v>2881.95</v>
      </c>
      <c r="AQ20" s="2">
        <v>2906.1</v>
      </c>
      <c r="AR20" s="2">
        <v>3700.09</v>
      </c>
      <c r="AS20" s="2">
        <v>2744.24</v>
      </c>
      <c r="AT20" s="2">
        <v>2712.55</v>
      </c>
      <c r="AU20" s="2">
        <v>2518.96</v>
      </c>
      <c r="AV20" s="2">
        <v>3317.99</v>
      </c>
    </row>
    <row r="21" spans="1:48" ht="15.75" thickBot="1" x14ac:dyDescent="0.3">
      <c r="A21" s="1" t="s">
        <v>26</v>
      </c>
      <c r="B21" s="2">
        <v>1132.8499999999999</v>
      </c>
      <c r="C21" s="3">
        <v>924.76</v>
      </c>
      <c r="D21" s="3">
        <v>941.65</v>
      </c>
      <c r="E21" s="2">
        <v>1057.9100000000001</v>
      </c>
      <c r="F21" s="2">
        <v>1124.49</v>
      </c>
      <c r="G21" s="2">
        <v>1015.61</v>
      </c>
      <c r="H21" s="2">
        <v>1038.3699999999999</v>
      </c>
      <c r="I21" s="2">
        <v>1073.25</v>
      </c>
      <c r="J21" s="3">
        <v>958.17</v>
      </c>
      <c r="K21" s="3">
        <v>722.35</v>
      </c>
      <c r="L21" s="3">
        <v>645.59</v>
      </c>
      <c r="M21" s="3">
        <v>644.12</v>
      </c>
      <c r="N21" s="3">
        <v>729.78</v>
      </c>
      <c r="O21" s="3">
        <v>668.52</v>
      </c>
      <c r="P21" s="3">
        <v>829.71</v>
      </c>
      <c r="Q21" s="3">
        <v>800.05</v>
      </c>
      <c r="R21" s="3">
        <v>855.74</v>
      </c>
      <c r="S21" s="3">
        <v>908.34</v>
      </c>
      <c r="T21" s="3">
        <v>804</v>
      </c>
      <c r="U21" s="3">
        <v>783.87</v>
      </c>
      <c r="V21" s="3">
        <v>720</v>
      </c>
      <c r="W21" s="3">
        <v>723.14</v>
      </c>
      <c r="X21" s="3">
        <v>654.26</v>
      </c>
      <c r="Y21" s="3">
        <v>682.04</v>
      </c>
      <c r="Z21" s="3">
        <v>803.84</v>
      </c>
      <c r="AA21" s="3">
        <v>683.44</v>
      </c>
      <c r="AB21" s="3">
        <v>731.14</v>
      </c>
      <c r="AC21" s="3">
        <v>670.18</v>
      </c>
      <c r="AD21" s="3">
        <v>709.16</v>
      </c>
      <c r="AE21" s="3">
        <v>700.14</v>
      </c>
      <c r="AF21" s="3">
        <v>652.91999999999996</v>
      </c>
      <c r="AG21" s="3">
        <v>769.72</v>
      </c>
      <c r="AH21" s="3">
        <v>736.72</v>
      </c>
      <c r="AI21" s="3">
        <v>529.19000000000005</v>
      </c>
      <c r="AJ21" s="3">
        <v>471.66</v>
      </c>
      <c r="AK21" s="3">
        <v>435.64</v>
      </c>
      <c r="AL21" s="3">
        <v>433.28</v>
      </c>
      <c r="AM21" s="3">
        <v>507.47</v>
      </c>
      <c r="AN21" s="3">
        <v>532.37</v>
      </c>
      <c r="AO21" s="3">
        <v>462.44</v>
      </c>
      <c r="AP21" s="3">
        <v>488.8</v>
      </c>
      <c r="AQ21" s="3">
        <v>492.34</v>
      </c>
      <c r="AR21" s="3">
        <v>464.64</v>
      </c>
      <c r="AS21" s="3">
        <v>452.92</v>
      </c>
      <c r="AT21" s="3">
        <v>436.58</v>
      </c>
      <c r="AU21" s="3">
        <v>466.44</v>
      </c>
      <c r="AV21" s="3">
        <v>459.42</v>
      </c>
    </row>
    <row r="22" spans="1:48" ht="15.75" thickBot="1" x14ac:dyDescent="0.3">
      <c r="A22" s="1" t="s">
        <v>27</v>
      </c>
      <c r="B22" s="2">
        <v>4772.0200000000004</v>
      </c>
      <c r="C22" s="2">
        <v>4699.38</v>
      </c>
      <c r="D22" s="2">
        <v>6057.9</v>
      </c>
      <c r="E22" s="2">
        <v>6012.71</v>
      </c>
      <c r="F22" s="2">
        <v>5050.3900000000003</v>
      </c>
      <c r="G22" s="2">
        <v>5753.23</v>
      </c>
      <c r="H22" s="2">
        <v>6385.95</v>
      </c>
      <c r="I22" s="2">
        <v>3622.85</v>
      </c>
      <c r="J22" s="2">
        <v>3554.57</v>
      </c>
      <c r="K22" s="2">
        <v>8237.33</v>
      </c>
      <c r="L22" s="2">
        <v>10715.04</v>
      </c>
      <c r="M22" s="2">
        <v>10443.66</v>
      </c>
      <c r="N22" s="2">
        <v>11730.4</v>
      </c>
      <c r="O22" s="2">
        <v>8825.81</v>
      </c>
      <c r="P22" s="2">
        <v>7506.88</v>
      </c>
      <c r="Q22" s="2">
        <v>5071.47</v>
      </c>
      <c r="R22" s="2">
        <v>2949.17</v>
      </c>
      <c r="S22" s="3">
        <v>-505.44</v>
      </c>
      <c r="T22" s="2">
        <v>1913.78</v>
      </c>
      <c r="U22" s="2">
        <v>2065.5100000000002</v>
      </c>
      <c r="V22" s="2">
        <v>1891.37</v>
      </c>
      <c r="W22" s="2">
        <v>2443.9</v>
      </c>
      <c r="X22" s="2">
        <v>3876.24</v>
      </c>
      <c r="Y22" s="2">
        <v>3513.63</v>
      </c>
      <c r="Z22" s="2">
        <v>5043.75</v>
      </c>
      <c r="AA22" s="2">
        <v>3907.86</v>
      </c>
      <c r="AB22" s="2">
        <v>3363.27</v>
      </c>
      <c r="AC22" s="2">
        <v>3226.25</v>
      </c>
      <c r="AD22" s="2">
        <v>2003.15</v>
      </c>
      <c r="AE22" s="2">
        <v>1411.87</v>
      </c>
      <c r="AF22" s="2">
        <v>2697.06</v>
      </c>
      <c r="AG22" s="2">
        <v>1837.5</v>
      </c>
      <c r="AH22" s="3">
        <v>431.05</v>
      </c>
      <c r="AI22" s="2">
        <v>1094.7</v>
      </c>
      <c r="AJ22" s="2">
        <v>1116.26</v>
      </c>
      <c r="AK22" s="3">
        <v>504.42</v>
      </c>
      <c r="AL22" s="3">
        <v>885.39</v>
      </c>
      <c r="AM22" s="3">
        <v>686.55</v>
      </c>
      <c r="AN22" s="3">
        <v>642.66999999999996</v>
      </c>
      <c r="AO22" s="2">
        <v>1168.46</v>
      </c>
      <c r="AP22" s="2">
        <v>2393.15</v>
      </c>
      <c r="AQ22" s="2">
        <v>2413.7600000000002</v>
      </c>
      <c r="AR22" s="2">
        <v>3235.45</v>
      </c>
      <c r="AS22" s="2">
        <v>2291.3200000000002</v>
      </c>
      <c r="AT22" s="2">
        <v>2275.9699999999998</v>
      </c>
      <c r="AU22" s="2">
        <v>2052.52</v>
      </c>
      <c r="AV22" s="2">
        <v>2858.57</v>
      </c>
    </row>
    <row r="23" spans="1:48" ht="15.75" thickBot="1" x14ac:dyDescent="0.3">
      <c r="A23" s="1" t="s">
        <v>28</v>
      </c>
      <c r="B23" s="3">
        <v>13.82</v>
      </c>
      <c r="C23" s="3">
        <v>-236.57</v>
      </c>
      <c r="D23" s="3">
        <v>-641.72</v>
      </c>
      <c r="E23" s="3">
        <v>10.050000000000001</v>
      </c>
      <c r="F23" s="2">
        <v>-12992.77</v>
      </c>
      <c r="G23" s="3">
        <v>-11.22</v>
      </c>
      <c r="H23" s="3">
        <v>-698.98</v>
      </c>
      <c r="I23" s="3">
        <v>-5.57</v>
      </c>
      <c r="J23" s="3">
        <v>-19.43</v>
      </c>
      <c r="K23" s="3">
        <v>-54.8</v>
      </c>
      <c r="L23" s="3">
        <v>-76.45</v>
      </c>
      <c r="M23" s="3">
        <v>-180.97</v>
      </c>
      <c r="N23" s="3">
        <v>-130.71</v>
      </c>
      <c r="O23" s="3">
        <v>152.68</v>
      </c>
      <c r="P23" s="3">
        <v>949.26</v>
      </c>
      <c r="Q23" s="3">
        <v>-225.94</v>
      </c>
      <c r="R23" s="3">
        <v>-9.17</v>
      </c>
      <c r="S23" s="2">
        <v>2058.9</v>
      </c>
      <c r="T23" s="2">
        <v>-2009.48</v>
      </c>
      <c r="U23" s="3">
        <v>349.23</v>
      </c>
      <c r="V23" s="3">
        <v>-2.58</v>
      </c>
      <c r="W23" s="3">
        <v>-40.75</v>
      </c>
      <c r="X23" s="3">
        <v>-11.02</v>
      </c>
      <c r="Y23" s="3">
        <v>259.67</v>
      </c>
      <c r="Z23" s="3">
        <v>-28.19</v>
      </c>
      <c r="AA23" s="3">
        <v>-334.69</v>
      </c>
      <c r="AB23" s="2">
        <v>-1607.4</v>
      </c>
      <c r="AC23" s="2">
        <v>-1115.45</v>
      </c>
      <c r="AD23" s="3">
        <v>-26.65</v>
      </c>
      <c r="AE23" s="3">
        <v>-616.79</v>
      </c>
      <c r="AF23" s="3">
        <v>-442.06</v>
      </c>
      <c r="AG23" s="3">
        <v>-41.56</v>
      </c>
      <c r="AH23" s="3">
        <v>-64.290000000000006</v>
      </c>
      <c r="AI23" s="3">
        <v>-155.47</v>
      </c>
      <c r="AJ23" s="3">
        <v>-288.8</v>
      </c>
      <c r="AK23" s="3">
        <v>-39.700000000000003</v>
      </c>
      <c r="AL23" s="2">
        <v>-1321.51</v>
      </c>
      <c r="AM23" s="3">
        <v>0.73</v>
      </c>
      <c r="AN23" s="3">
        <v>-43.97</v>
      </c>
      <c r="AO23" s="3" t="s">
        <v>8</v>
      </c>
      <c r="AP23" s="2">
        <v>1146.8599999999999</v>
      </c>
      <c r="AQ23" s="3">
        <v>787.96</v>
      </c>
      <c r="AR23" s="3">
        <v>-141.76</v>
      </c>
      <c r="AS23" s="3" t="s">
        <v>8</v>
      </c>
      <c r="AT23" s="3" t="s">
        <v>8</v>
      </c>
      <c r="AU23" s="3" t="s">
        <v>8</v>
      </c>
      <c r="AV23" s="3">
        <v>-684.13</v>
      </c>
    </row>
    <row r="24" spans="1:48" ht="15.75" thickBot="1" x14ac:dyDescent="0.3">
      <c r="A24" s="1" t="s">
        <v>29</v>
      </c>
      <c r="B24" s="2">
        <v>4785.84</v>
      </c>
      <c r="C24" s="2">
        <v>4462.8100000000004</v>
      </c>
      <c r="D24" s="2">
        <v>5416.18</v>
      </c>
      <c r="E24" s="2">
        <v>6022.76</v>
      </c>
      <c r="F24" s="2">
        <v>-7942.38</v>
      </c>
      <c r="G24" s="2">
        <v>5742.01</v>
      </c>
      <c r="H24" s="2">
        <v>5686.97</v>
      </c>
      <c r="I24" s="2">
        <v>3617.28</v>
      </c>
      <c r="J24" s="2">
        <v>3535.14</v>
      </c>
      <c r="K24" s="2">
        <v>8182.53</v>
      </c>
      <c r="L24" s="2">
        <v>10638.59</v>
      </c>
      <c r="M24" s="2">
        <v>10262.69</v>
      </c>
      <c r="N24" s="2">
        <v>11599.69</v>
      </c>
      <c r="O24" s="2">
        <v>8978.49</v>
      </c>
      <c r="P24" s="2">
        <v>8456.14</v>
      </c>
      <c r="Q24" s="2">
        <v>4845.53</v>
      </c>
      <c r="R24" s="2">
        <v>2940</v>
      </c>
      <c r="S24" s="2">
        <v>1553.46</v>
      </c>
      <c r="T24" s="3">
        <v>-95.7</v>
      </c>
      <c r="U24" s="2">
        <v>2414.7399999999998</v>
      </c>
      <c r="V24" s="2">
        <v>1888.79</v>
      </c>
      <c r="W24" s="2">
        <v>2403.15</v>
      </c>
      <c r="X24" s="2">
        <v>3865.22</v>
      </c>
      <c r="Y24" s="2">
        <v>3773.3</v>
      </c>
      <c r="Z24" s="2">
        <v>5015.5600000000004</v>
      </c>
      <c r="AA24" s="2">
        <v>3573.17</v>
      </c>
      <c r="AB24" s="2">
        <v>1755.87</v>
      </c>
      <c r="AC24" s="2">
        <v>2110.8000000000002</v>
      </c>
      <c r="AD24" s="2">
        <v>1976.5</v>
      </c>
      <c r="AE24" s="3">
        <v>795.08</v>
      </c>
      <c r="AF24" s="2">
        <v>2255</v>
      </c>
      <c r="AG24" s="2">
        <v>1795.94</v>
      </c>
      <c r="AH24" s="3">
        <v>366.76</v>
      </c>
      <c r="AI24" s="3">
        <v>939.23</v>
      </c>
      <c r="AJ24" s="3">
        <v>827.46</v>
      </c>
      <c r="AK24" s="3">
        <v>464.72</v>
      </c>
      <c r="AL24" s="3">
        <v>-436.12</v>
      </c>
      <c r="AM24" s="3">
        <v>687.28</v>
      </c>
      <c r="AN24" s="3">
        <v>598.70000000000005</v>
      </c>
      <c r="AO24" s="2">
        <v>1168.46</v>
      </c>
      <c r="AP24" s="2">
        <v>3540.01</v>
      </c>
      <c r="AQ24" s="2">
        <v>3201.72</v>
      </c>
      <c r="AR24" s="2">
        <v>3093.69</v>
      </c>
      <c r="AS24" s="2">
        <v>2291.3200000000002</v>
      </c>
      <c r="AT24" s="2">
        <v>2275.9699999999998</v>
      </c>
      <c r="AU24" s="2">
        <v>2052.52</v>
      </c>
      <c r="AV24" s="2">
        <v>2174.44</v>
      </c>
    </row>
    <row r="25" spans="1:48" ht="15.75" thickBot="1" x14ac:dyDescent="0.3">
      <c r="A25" s="1" t="s">
        <v>30</v>
      </c>
      <c r="B25" s="2">
        <v>1194.8499999999999</v>
      </c>
      <c r="C25" s="2">
        <v>1133.78</v>
      </c>
      <c r="D25" s="2">
        <v>1365.88</v>
      </c>
      <c r="E25" s="2">
        <v>1369.72</v>
      </c>
      <c r="F25" s="3">
        <v>588.22</v>
      </c>
      <c r="G25" s="2">
        <v>1471.31</v>
      </c>
      <c r="H25" s="2">
        <v>1666.11</v>
      </c>
      <c r="I25" s="3">
        <v>912.15</v>
      </c>
      <c r="J25" s="3">
        <v>880.19</v>
      </c>
      <c r="K25" s="2">
        <v>2068.36</v>
      </c>
      <c r="L25" s="2">
        <v>2799.13</v>
      </c>
      <c r="M25" s="2">
        <v>2579.3000000000002</v>
      </c>
      <c r="N25" s="2">
        <v>2891.43</v>
      </c>
      <c r="O25" s="2">
        <v>2198.4499999999998</v>
      </c>
      <c r="P25" s="2">
        <v>1862.6</v>
      </c>
      <c r="Q25" s="2">
        <v>1230.5899999999999</v>
      </c>
      <c r="R25" s="3">
        <v>735.13</v>
      </c>
      <c r="S25" s="3">
        <v>360.19</v>
      </c>
      <c r="T25" s="3">
        <v>341.13</v>
      </c>
      <c r="U25" s="3">
        <v>610.91</v>
      </c>
      <c r="V25" s="2">
        <v>-1949.02</v>
      </c>
      <c r="W25" s="3">
        <v>864.16</v>
      </c>
      <c r="X25" s="2">
        <v>1374.13</v>
      </c>
      <c r="Y25" s="2">
        <v>1317.21</v>
      </c>
      <c r="Z25" s="2">
        <v>1747.7</v>
      </c>
      <c r="AA25" s="2">
        <v>1255.02</v>
      </c>
      <c r="AB25" s="3">
        <v>724.94</v>
      </c>
      <c r="AC25" s="3">
        <v>772.71</v>
      </c>
      <c r="AD25" s="3">
        <v>682.42</v>
      </c>
      <c r="AE25" s="3">
        <v>288.63</v>
      </c>
      <c r="AF25" s="3">
        <v>840.04</v>
      </c>
      <c r="AG25" s="3">
        <v>591.34</v>
      </c>
      <c r="AH25" s="3">
        <v>117.2</v>
      </c>
      <c r="AI25" s="3">
        <v>363.8</v>
      </c>
      <c r="AJ25" s="3">
        <v>307.02</v>
      </c>
      <c r="AK25" s="3">
        <v>166.37</v>
      </c>
      <c r="AL25" s="3">
        <v>-147.63999999999999</v>
      </c>
      <c r="AM25" s="3">
        <v>261.94</v>
      </c>
      <c r="AN25" s="3">
        <v>-215.39</v>
      </c>
      <c r="AO25" s="3">
        <v>287.82</v>
      </c>
      <c r="AP25" s="2">
        <v>1063.5999999999999</v>
      </c>
      <c r="AQ25" s="3">
        <v>933.74</v>
      </c>
      <c r="AR25" s="2">
        <v>1115.05</v>
      </c>
      <c r="AS25" s="3">
        <v>772.55</v>
      </c>
      <c r="AT25" s="3">
        <v>717.3</v>
      </c>
      <c r="AU25" s="3">
        <v>696.41</v>
      </c>
      <c r="AV25" s="3">
        <v>865.23</v>
      </c>
    </row>
    <row r="26" spans="1:48" ht="15.75" thickBot="1" x14ac:dyDescent="0.3">
      <c r="A26" s="1" t="s">
        <v>31</v>
      </c>
      <c r="B26" s="2">
        <v>3590.99</v>
      </c>
      <c r="C26" s="2">
        <v>3329.03</v>
      </c>
      <c r="D26" s="2">
        <v>4050.3</v>
      </c>
      <c r="E26" s="2">
        <v>4653.04</v>
      </c>
      <c r="F26" s="2">
        <v>-8530.6</v>
      </c>
      <c r="G26" s="2">
        <v>4270.7</v>
      </c>
      <c r="H26" s="2">
        <v>4020.86</v>
      </c>
      <c r="I26" s="2">
        <v>2705.13</v>
      </c>
      <c r="J26" s="2">
        <v>2654.95</v>
      </c>
      <c r="K26" s="2">
        <v>6114.17</v>
      </c>
      <c r="L26" s="2">
        <v>7839.46</v>
      </c>
      <c r="M26" s="2">
        <v>7683.39</v>
      </c>
      <c r="N26" s="2">
        <v>8708.26</v>
      </c>
      <c r="O26" s="2">
        <v>6780.04</v>
      </c>
      <c r="P26" s="2">
        <v>6593.54</v>
      </c>
      <c r="Q26" s="2">
        <v>3614.94</v>
      </c>
      <c r="R26" s="2">
        <v>2204.87</v>
      </c>
      <c r="S26" s="2">
        <v>1193.27</v>
      </c>
      <c r="T26" s="3">
        <v>-436.83</v>
      </c>
      <c r="U26" s="2">
        <v>1803.83</v>
      </c>
      <c r="V26" s="2">
        <v>3837.81</v>
      </c>
      <c r="W26" s="2">
        <v>1538.99</v>
      </c>
      <c r="X26" s="2">
        <v>2491.09</v>
      </c>
      <c r="Y26" s="2">
        <v>2456.09</v>
      </c>
      <c r="Z26" s="2">
        <v>3267.86</v>
      </c>
      <c r="AA26" s="2">
        <v>2318.15</v>
      </c>
      <c r="AB26" s="2">
        <v>1030.93</v>
      </c>
      <c r="AC26" s="2">
        <v>1338.09</v>
      </c>
      <c r="AD26" s="2">
        <v>1294.08</v>
      </c>
      <c r="AE26" s="3">
        <v>506.45</v>
      </c>
      <c r="AF26" s="2">
        <v>1414.96</v>
      </c>
      <c r="AG26" s="2">
        <v>1204.5999999999999</v>
      </c>
      <c r="AH26" s="3">
        <v>249.56</v>
      </c>
      <c r="AI26" s="3">
        <v>575.42999999999995</v>
      </c>
      <c r="AJ26" s="3">
        <v>520.44000000000005</v>
      </c>
      <c r="AK26" s="3">
        <v>298.35000000000002</v>
      </c>
      <c r="AL26" s="3">
        <v>-288.48</v>
      </c>
      <c r="AM26" s="3">
        <v>425.34</v>
      </c>
      <c r="AN26" s="3">
        <v>814.09</v>
      </c>
      <c r="AO26" s="3">
        <v>880.64</v>
      </c>
      <c r="AP26" s="2">
        <v>2476.41</v>
      </c>
      <c r="AQ26" s="2">
        <v>2267.98</v>
      </c>
      <c r="AR26" s="2">
        <v>1978.64</v>
      </c>
      <c r="AS26" s="2">
        <v>1518.77</v>
      </c>
      <c r="AT26" s="2">
        <v>1558.67</v>
      </c>
      <c r="AU26" s="2">
        <v>1356.11</v>
      </c>
      <c r="AV26" s="2">
        <v>1309.21</v>
      </c>
    </row>
    <row r="27" spans="1:48" ht="15.75" thickBot="1" x14ac:dyDescent="0.3">
      <c r="A27" s="1" t="s">
        <v>32</v>
      </c>
      <c r="B27" s="3" t="s">
        <v>8</v>
      </c>
      <c r="C27" s="3" t="s">
        <v>8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 t="s">
        <v>8</v>
      </c>
      <c r="T27" s="3" t="s">
        <v>8</v>
      </c>
      <c r="U27" s="3" t="s">
        <v>8</v>
      </c>
      <c r="V27" s="3" t="s">
        <v>8</v>
      </c>
      <c r="W27" s="3" t="s">
        <v>8</v>
      </c>
      <c r="X27" s="3" t="s">
        <v>8</v>
      </c>
      <c r="Y27" s="3" t="s">
        <v>8</v>
      </c>
      <c r="Z27" s="3" t="s">
        <v>8</v>
      </c>
      <c r="AA27" s="3" t="s">
        <v>8</v>
      </c>
      <c r="AB27" s="3" t="s">
        <v>8</v>
      </c>
      <c r="AC27" s="3" t="s">
        <v>8</v>
      </c>
      <c r="AD27" s="3" t="s">
        <v>8</v>
      </c>
      <c r="AE27" s="3" t="s">
        <v>8</v>
      </c>
      <c r="AF27" s="3" t="s">
        <v>8</v>
      </c>
      <c r="AG27" s="3" t="s">
        <v>8</v>
      </c>
      <c r="AH27" s="3" t="s">
        <v>8</v>
      </c>
      <c r="AI27" s="3" t="s">
        <v>8</v>
      </c>
      <c r="AJ27" s="3" t="s">
        <v>8</v>
      </c>
      <c r="AK27" s="3" t="s">
        <v>8</v>
      </c>
      <c r="AL27" s="3" t="s">
        <v>8</v>
      </c>
      <c r="AM27" s="3" t="s">
        <v>8</v>
      </c>
      <c r="AN27" s="3" t="s">
        <v>8</v>
      </c>
      <c r="AO27" s="3" t="s">
        <v>8</v>
      </c>
      <c r="AP27" s="3" t="s">
        <v>8</v>
      </c>
      <c r="AQ27" s="3" t="s">
        <v>8</v>
      </c>
      <c r="AR27" s="3" t="s">
        <v>8</v>
      </c>
      <c r="AS27" s="3" t="s">
        <v>8</v>
      </c>
      <c r="AT27" s="3" t="s">
        <v>8</v>
      </c>
      <c r="AU27" s="3" t="s">
        <v>8</v>
      </c>
      <c r="AV27" s="3" t="s">
        <v>8</v>
      </c>
    </row>
    <row r="28" spans="1:48" ht="15.75" thickBot="1" x14ac:dyDescent="0.3">
      <c r="A28" s="1" t="s">
        <v>33</v>
      </c>
      <c r="B28" s="3" t="s">
        <v>8</v>
      </c>
      <c r="C28" s="3" t="s">
        <v>8</v>
      </c>
      <c r="D28" s="3" t="s">
        <v>8</v>
      </c>
      <c r="E28" s="3" t="s">
        <v>8</v>
      </c>
      <c r="F28" s="3" t="s">
        <v>8</v>
      </c>
      <c r="G28" s="3" t="s">
        <v>8</v>
      </c>
      <c r="H28" s="3" t="s">
        <v>8</v>
      </c>
      <c r="I28" s="3" t="s">
        <v>8</v>
      </c>
      <c r="J28" s="3" t="s">
        <v>8</v>
      </c>
      <c r="K28" s="3" t="s">
        <v>8</v>
      </c>
      <c r="L28" s="3" t="s">
        <v>8</v>
      </c>
      <c r="M28" s="3" t="s">
        <v>8</v>
      </c>
      <c r="N28" s="3" t="s">
        <v>8</v>
      </c>
      <c r="O28" s="3" t="s">
        <v>8</v>
      </c>
      <c r="P28" s="3" t="s">
        <v>8</v>
      </c>
      <c r="Q28" s="3" t="s">
        <v>8</v>
      </c>
      <c r="R28" s="3" t="s">
        <v>8</v>
      </c>
      <c r="S28" s="3" t="s">
        <v>8</v>
      </c>
      <c r="T28" s="3" t="s">
        <v>8</v>
      </c>
      <c r="U28" s="3" t="s">
        <v>8</v>
      </c>
      <c r="V28" s="3" t="s">
        <v>8</v>
      </c>
      <c r="W28" s="3" t="s">
        <v>8</v>
      </c>
      <c r="X28" s="3" t="s">
        <v>8</v>
      </c>
      <c r="Y28" s="3" t="s">
        <v>8</v>
      </c>
      <c r="Z28" s="3" t="s">
        <v>8</v>
      </c>
      <c r="AA28" s="3" t="s">
        <v>8</v>
      </c>
      <c r="AB28" s="3" t="s">
        <v>8</v>
      </c>
      <c r="AC28" s="3" t="s">
        <v>8</v>
      </c>
      <c r="AD28" s="3" t="s">
        <v>8</v>
      </c>
      <c r="AE28" s="3" t="s">
        <v>8</v>
      </c>
      <c r="AF28" s="3" t="s">
        <v>8</v>
      </c>
      <c r="AG28" s="3" t="s">
        <v>8</v>
      </c>
      <c r="AH28" s="3" t="s">
        <v>8</v>
      </c>
      <c r="AI28" s="3" t="s">
        <v>8</v>
      </c>
      <c r="AJ28" s="3" t="s">
        <v>8</v>
      </c>
      <c r="AK28" s="3" t="s">
        <v>8</v>
      </c>
      <c r="AL28" s="3" t="s">
        <v>8</v>
      </c>
      <c r="AM28" s="3" t="s">
        <v>8</v>
      </c>
      <c r="AN28" s="3" t="s">
        <v>8</v>
      </c>
      <c r="AO28" s="3" t="s">
        <v>8</v>
      </c>
      <c r="AP28" s="3" t="s">
        <v>8</v>
      </c>
      <c r="AQ28" s="3" t="s">
        <v>8</v>
      </c>
      <c r="AR28" s="3" t="s">
        <v>8</v>
      </c>
      <c r="AS28" s="3" t="s">
        <v>8</v>
      </c>
      <c r="AT28" s="3" t="s">
        <v>8</v>
      </c>
      <c r="AU28" s="3" t="s">
        <v>8</v>
      </c>
      <c r="AV28" s="3" t="s">
        <v>8</v>
      </c>
    </row>
    <row r="29" spans="1:48" ht="15.75" thickBot="1" x14ac:dyDescent="0.3">
      <c r="A29" s="1" t="s">
        <v>34</v>
      </c>
      <c r="B29" s="2">
        <v>3590.99</v>
      </c>
      <c r="C29" s="2">
        <v>3329.03</v>
      </c>
      <c r="D29" s="2">
        <v>4050.3</v>
      </c>
      <c r="E29" s="2">
        <v>4653.04</v>
      </c>
      <c r="F29" s="2">
        <v>-8530.6</v>
      </c>
      <c r="G29" s="2">
        <v>4270.7</v>
      </c>
      <c r="H29" s="2">
        <v>4020.86</v>
      </c>
      <c r="I29" s="2">
        <v>2705.13</v>
      </c>
      <c r="J29" s="2">
        <v>2654.95</v>
      </c>
      <c r="K29" s="2">
        <v>6114.17</v>
      </c>
      <c r="L29" s="2">
        <v>7839.46</v>
      </c>
      <c r="M29" s="2">
        <v>7683.39</v>
      </c>
      <c r="N29" s="2">
        <v>8708.26</v>
      </c>
      <c r="O29" s="2">
        <v>6780.04</v>
      </c>
      <c r="P29" s="2">
        <v>6593.54</v>
      </c>
      <c r="Q29" s="2">
        <v>3614.94</v>
      </c>
      <c r="R29" s="2">
        <v>2204.87</v>
      </c>
      <c r="S29" s="2">
        <v>1193.27</v>
      </c>
      <c r="T29" s="3">
        <v>-436.83</v>
      </c>
      <c r="U29" s="2">
        <v>1803.83</v>
      </c>
      <c r="V29" s="2">
        <v>3837.81</v>
      </c>
      <c r="W29" s="2">
        <v>1538.99</v>
      </c>
      <c r="X29" s="2">
        <v>2491.09</v>
      </c>
      <c r="Y29" s="2">
        <v>2456.09</v>
      </c>
      <c r="Z29" s="2">
        <v>3267.86</v>
      </c>
      <c r="AA29" s="2">
        <v>2318.15</v>
      </c>
      <c r="AB29" s="2">
        <v>1030.93</v>
      </c>
      <c r="AC29" s="2">
        <v>1338.09</v>
      </c>
      <c r="AD29" s="2">
        <v>1294.08</v>
      </c>
      <c r="AE29" s="3">
        <v>506.45</v>
      </c>
      <c r="AF29" s="2">
        <v>1414.96</v>
      </c>
      <c r="AG29" s="2">
        <v>1204.5999999999999</v>
      </c>
      <c r="AH29" s="3">
        <v>249.56</v>
      </c>
      <c r="AI29" s="3">
        <v>575.42999999999995</v>
      </c>
      <c r="AJ29" s="3">
        <v>520.44000000000005</v>
      </c>
      <c r="AK29" s="3">
        <v>298.35000000000002</v>
      </c>
      <c r="AL29" s="3">
        <v>-288.48</v>
      </c>
      <c r="AM29" s="3">
        <v>425.34</v>
      </c>
      <c r="AN29" s="3">
        <v>814.09</v>
      </c>
      <c r="AO29" s="3">
        <v>880.64</v>
      </c>
      <c r="AP29" s="2">
        <v>2476.41</v>
      </c>
      <c r="AQ29" s="2">
        <v>2267.98</v>
      </c>
      <c r="AR29" s="2">
        <v>1978.64</v>
      </c>
      <c r="AS29" s="2">
        <v>1518.77</v>
      </c>
      <c r="AT29" s="2">
        <v>1558.67</v>
      </c>
      <c r="AU29" s="2">
        <v>1356.11</v>
      </c>
      <c r="AV29" s="2">
        <v>1309.21</v>
      </c>
    </row>
    <row r="30" spans="1:48" ht="15.75" thickBot="1" x14ac:dyDescent="0.3">
      <c r="A30" s="1" t="s">
        <v>35</v>
      </c>
      <c r="B30" s="2">
        <v>1248.5999999999999</v>
      </c>
      <c r="C30" s="2">
        <v>1248.5999999999999</v>
      </c>
      <c r="D30" s="2">
        <v>1248.5999999999999</v>
      </c>
      <c r="E30" s="2">
        <v>1229.98</v>
      </c>
      <c r="F30" s="2">
        <v>1222.4000000000001</v>
      </c>
      <c r="G30" s="2">
        <v>1222.4000000000001</v>
      </c>
      <c r="H30" s="2">
        <v>1222.4000000000001</v>
      </c>
      <c r="I30" s="2">
        <v>1222.3699999999999</v>
      </c>
      <c r="J30" s="2">
        <v>1222.3699999999999</v>
      </c>
      <c r="K30" s="2">
        <v>1222.3699999999999</v>
      </c>
      <c r="L30" s="2">
        <v>1222.3699999999999</v>
      </c>
      <c r="M30" s="2">
        <v>1222.33</v>
      </c>
      <c r="N30" s="2">
        <v>1203.46</v>
      </c>
      <c r="O30" s="2">
        <v>1203.04</v>
      </c>
      <c r="P30" s="2">
        <v>1198.78</v>
      </c>
      <c r="Q30" s="2">
        <v>1146.1300000000001</v>
      </c>
      <c r="R30" s="2">
        <v>1146.1300000000001</v>
      </c>
      <c r="S30" s="2">
        <v>1146.1300000000001</v>
      </c>
      <c r="T30" s="2">
        <v>1146.1300000000001</v>
      </c>
      <c r="U30" s="2">
        <v>1146.1199999999999</v>
      </c>
      <c r="V30" s="2">
        <v>1146.1199999999999</v>
      </c>
      <c r="W30" s="2">
        <v>1146.1199999999999</v>
      </c>
      <c r="X30" s="2">
        <v>1146.1199999999999</v>
      </c>
      <c r="Y30" s="2">
        <v>1146.1199999999999</v>
      </c>
      <c r="Z30" s="2">
        <v>1146.1199999999999</v>
      </c>
      <c r="AA30" s="2">
        <v>1146.1199999999999</v>
      </c>
      <c r="AB30" s="2">
        <v>1146.1199999999999</v>
      </c>
      <c r="AC30" s="3">
        <v>971.41</v>
      </c>
      <c r="AD30" s="3">
        <v>971.41</v>
      </c>
      <c r="AE30" s="3">
        <v>971.41</v>
      </c>
      <c r="AF30" s="3">
        <v>971.41</v>
      </c>
      <c r="AG30" s="3">
        <v>971.41</v>
      </c>
      <c r="AH30" s="3">
        <v>971.41</v>
      </c>
      <c r="AI30" s="3">
        <v>971.41</v>
      </c>
      <c r="AJ30" s="3">
        <v>971.41</v>
      </c>
      <c r="AK30" s="3">
        <v>971.41</v>
      </c>
      <c r="AL30" s="3">
        <v>971.41</v>
      </c>
      <c r="AM30" s="3">
        <v>971.41</v>
      </c>
      <c r="AN30" s="3">
        <v>971.41</v>
      </c>
      <c r="AO30" s="3">
        <v>971.41</v>
      </c>
      <c r="AP30" s="3">
        <v>971.41</v>
      </c>
      <c r="AQ30" s="3">
        <v>971.41</v>
      </c>
      <c r="AR30" s="3">
        <v>971.41</v>
      </c>
      <c r="AS30" s="3">
        <v>971.41</v>
      </c>
      <c r="AT30" s="3">
        <v>971.41</v>
      </c>
      <c r="AU30" s="3">
        <v>971.41</v>
      </c>
      <c r="AV30" s="3">
        <v>971.41</v>
      </c>
    </row>
    <row r="32" spans="1:48" ht="15.75" thickBot="1" x14ac:dyDescent="0.3"/>
    <row r="33" spans="1:48" ht="38.25" customHeight="1" thickBot="1" x14ac:dyDescent="0.3">
      <c r="A33" s="16" t="s">
        <v>0</v>
      </c>
      <c r="B33" s="16" t="s">
        <v>1</v>
      </c>
      <c r="C33" s="16" t="s">
        <v>2</v>
      </c>
      <c r="D33" s="16" t="s">
        <v>3</v>
      </c>
      <c r="E33" s="16" t="s">
        <v>4</v>
      </c>
      <c r="F33" s="16" t="s">
        <v>5</v>
      </c>
      <c r="G33" s="16" t="s">
        <v>36</v>
      </c>
      <c r="H33" s="16" t="s">
        <v>37</v>
      </c>
      <c r="I33" s="16" t="s">
        <v>38</v>
      </c>
      <c r="J33" s="16" t="s">
        <v>39</v>
      </c>
      <c r="K33" s="16" t="s">
        <v>40</v>
      </c>
      <c r="L33" s="17" t="s">
        <v>41</v>
      </c>
      <c r="M33" s="17" t="s">
        <v>42</v>
      </c>
      <c r="N33" s="17" t="s">
        <v>43</v>
      </c>
      <c r="O33" s="17" t="s">
        <v>44</v>
      </c>
      <c r="P33" s="17" t="s">
        <v>45</v>
      </c>
      <c r="Q33" s="17" t="s">
        <v>46</v>
      </c>
      <c r="R33" s="17" t="s">
        <v>47</v>
      </c>
      <c r="S33" s="17" t="s">
        <v>48</v>
      </c>
      <c r="T33" s="17" t="s">
        <v>49</v>
      </c>
      <c r="U33" s="17" t="s">
        <v>50</v>
      </c>
      <c r="V33" s="17" t="s">
        <v>51</v>
      </c>
      <c r="W33" s="17" t="s">
        <v>52</v>
      </c>
      <c r="X33" s="17" t="s">
        <v>53</v>
      </c>
      <c r="Y33" s="17" t="s">
        <v>54</v>
      </c>
      <c r="Z33" s="17" t="s">
        <v>55</v>
      </c>
      <c r="AA33" s="16" t="s">
        <v>56</v>
      </c>
      <c r="AB33" s="16" t="s">
        <v>57</v>
      </c>
      <c r="AC33" s="16" t="s">
        <v>58</v>
      </c>
      <c r="AD33" s="16" t="s">
        <v>59</v>
      </c>
      <c r="AE33" s="16" t="s">
        <v>60</v>
      </c>
      <c r="AF33" s="17" t="s">
        <v>61</v>
      </c>
      <c r="AG33" s="17" t="s">
        <v>62</v>
      </c>
      <c r="AH33" s="17" t="s">
        <v>63</v>
      </c>
      <c r="AI33" s="17" t="s">
        <v>64</v>
      </c>
      <c r="AJ33" s="17" t="s">
        <v>65</v>
      </c>
      <c r="AK33" s="16" t="s">
        <v>66</v>
      </c>
      <c r="AL33" s="16" t="s">
        <v>67</v>
      </c>
      <c r="AM33" s="16" t="s">
        <v>68</v>
      </c>
      <c r="AN33" s="16" t="s">
        <v>69</v>
      </c>
      <c r="AO33" s="16" t="s">
        <v>70</v>
      </c>
      <c r="AP33" s="16" t="s">
        <v>71</v>
      </c>
      <c r="AQ33" s="16" t="s">
        <v>72</v>
      </c>
      <c r="AR33" s="16" t="s">
        <v>73</v>
      </c>
      <c r="AS33" s="16" t="s">
        <v>74</v>
      </c>
      <c r="AT33" s="16" t="s">
        <v>75</v>
      </c>
      <c r="AU33" s="17" t="s">
        <v>76</v>
      </c>
      <c r="AV33" s="17" t="s">
        <v>77</v>
      </c>
    </row>
    <row r="34" spans="1:48" ht="15.75" thickBot="1" x14ac:dyDescent="0.3">
      <c r="A34" s="1" t="s">
        <v>6</v>
      </c>
      <c r="B34" s="13">
        <v>32399.48</v>
      </c>
      <c r="C34" s="13">
        <v>32959.660000000003</v>
      </c>
      <c r="D34" s="13">
        <v>36066.589999999997</v>
      </c>
      <c r="E34" s="13">
        <v>34199.01</v>
      </c>
      <c r="F34" s="13">
        <v>32793.589999999997</v>
      </c>
      <c r="G34" s="13">
        <v>32341.62</v>
      </c>
      <c r="H34" s="13">
        <v>33798.07</v>
      </c>
      <c r="I34" s="13">
        <v>30465.29</v>
      </c>
      <c r="J34" s="13">
        <v>31860.83</v>
      </c>
      <c r="K34" s="13">
        <v>32021.09</v>
      </c>
      <c r="L34" s="13">
        <v>36680.93</v>
      </c>
      <c r="M34" s="13">
        <v>31964.25</v>
      </c>
      <c r="N34" s="13">
        <v>32582.27</v>
      </c>
      <c r="O34" s="13">
        <v>20798.310000000001</v>
      </c>
      <c r="P34" s="13">
        <v>20817.72</v>
      </c>
      <c r="Q34" s="13">
        <v>17669.53</v>
      </c>
      <c r="R34" s="13">
        <v>16361.98</v>
      </c>
      <c r="S34" s="13">
        <v>9338.7800000000007</v>
      </c>
      <c r="T34" s="13">
        <v>14211.43</v>
      </c>
      <c r="U34" s="13">
        <v>14817.34</v>
      </c>
      <c r="V34" s="13">
        <v>14486.58</v>
      </c>
      <c r="W34" s="13">
        <v>15812.75</v>
      </c>
      <c r="X34" s="13">
        <v>18498.07</v>
      </c>
      <c r="Y34" s="13">
        <v>16691.22</v>
      </c>
      <c r="Z34" s="13">
        <v>17579.75</v>
      </c>
      <c r="AA34" s="13">
        <v>16154.32</v>
      </c>
      <c r="AB34" s="13">
        <v>15946.2</v>
      </c>
      <c r="AC34" s="13">
        <v>15309.94</v>
      </c>
      <c r="AD34" s="13">
        <v>13910.36</v>
      </c>
      <c r="AE34" s="13">
        <v>12835.63</v>
      </c>
      <c r="AF34" s="13">
        <v>15218.46</v>
      </c>
      <c r="AG34" s="13">
        <v>12497.6</v>
      </c>
      <c r="AH34" s="13">
        <v>10522.69</v>
      </c>
      <c r="AI34" s="13">
        <v>9058.24</v>
      </c>
      <c r="AJ34" s="13">
        <v>10458.549999999999</v>
      </c>
      <c r="AK34" s="13">
        <v>8953.6</v>
      </c>
      <c r="AL34" s="13">
        <v>9462.9500000000007</v>
      </c>
      <c r="AM34" s="13">
        <v>8986.7800000000007</v>
      </c>
      <c r="AN34" s="13">
        <v>10522.68</v>
      </c>
      <c r="AO34" s="13">
        <v>9820.7000000000007</v>
      </c>
      <c r="AP34" s="13">
        <v>10700.98</v>
      </c>
      <c r="AQ34" s="13">
        <v>10377.73</v>
      </c>
      <c r="AR34" s="13">
        <v>12041.92</v>
      </c>
      <c r="AS34" s="13">
        <v>10040.370000000001</v>
      </c>
      <c r="AT34" s="13">
        <v>9825.9500000000007</v>
      </c>
      <c r="AU34" s="13">
        <v>9363</v>
      </c>
      <c r="AV34" s="13">
        <v>10602.88</v>
      </c>
    </row>
    <row r="35" spans="1:48" ht="15.75" x14ac:dyDescent="0.25">
      <c r="A35" s="5" t="s">
        <v>78</v>
      </c>
      <c r="B35" s="18">
        <f>(B34-C34)/C34</f>
        <v>-1.6995927749254812E-2</v>
      </c>
      <c r="C35" s="18">
        <f t="shared" ref="C35:AU35" si="0">(C34-D34)/D34</f>
        <v>-8.6144268144007885E-2</v>
      </c>
      <c r="D35" s="18">
        <f t="shared" si="0"/>
        <v>5.4609183131324394E-2</v>
      </c>
      <c r="E35" s="18">
        <f t="shared" si="0"/>
        <v>4.2856546050615556E-2</v>
      </c>
      <c r="F35" s="18">
        <f t="shared" si="0"/>
        <v>1.3974872007029874E-2</v>
      </c>
      <c r="G35" s="18">
        <f t="shared" si="0"/>
        <v>-4.3092697304905302E-2</v>
      </c>
      <c r="H35" s="18">
        <f t="shared" si="0"/>
        <v>0.10939597161228397</v>
      </c>
      <c r="I35" s="18">
        <f t="shared" si="0"/>
        <v>-4.3801118803245262E-2</v>
      </c>
      <c r="J35" s="18">
        <f t="shared" si="0"/>
        <v>-5.0048265065304898E-3</v>
      </c>
      <c r="K35" s="18">
        <f t="shared" si="0"/>
        <v>-0.12703712801174888</v>
      </c>
      <c r="L35" s="18">
        <f t="shared" si="0"/>
        <v>0.1475611034202273</v>
      </c>
      <c r="M35" s="18">
        <f t="shared" si="0"/>
        <v>-1.8967984735256335E-2</v>
      </c>
      <c r="N35" s="18">
        <f t="shared" si="0"/>
        <v>0.56658257329561867</v>
      </c>
      <c r="O35" s="18">
        <f t="shared" si="0"/>
        <v>-9.3237876193934081E-4</v>
      </c>
      <c r="P35" s="18">
        <f t="shared" si="0"/>
        <v>0.17817055688521441</v>
      </c>
      <c r="Q35" s="18">
        <f t="shared" si="0"/>
        <v>7.9913922398144932E-2</v>
      </c>
      <c r="R35" s="18">
        <f t="shared" si="0"/>
        <v>0.75204684123622123</v>
      </c>
      <c r="S35" s="18">
        <f t="shared" si="0"/>
        <v>-0.34286838129590053</v>
      </c>
      <c r="T35" s="18">
        <f t="shared" si="0"/>
        <v>-4.0891954966275991E-2</v>
      </c>
      <c r="U35" s="18">
        <f t="shared" si="0"/>
        <v>2.2832166046092329E-2</v>
      </c>
      <c r="V35" s="18">
        <f t="shared" si="0"/>
        <v>-8.3867132535453984E-2</v>
      </c>
      <c r="W35" s="18">
        <f t="shared" si="0"/>
        <v>-0.14516757694181068</v>
      </c>
      <c r="X35" s="18">
        <f t="shared" si="0"/>
        <v>0.10825152385505664</v>
      </c>
      <c r="Y35" s="18">
        <f t="shared" si="0"/>
        <v>-5.0542812042264469E-2</v>
      </c>
      <c r="Z35" s="18">
        <f t="shared" si="0"/>
        <v>8.8238316437955933E-2</v>
      </c>
      <c r="AA35" s="18">
        <f t="shared" si="0"/>
        <v>1.3051385283014071E-2</v>
      </c>
      <c r="AB35" s="18">
        <f t="shared" si="0"/>
        <v>4.1558621392376469E-2</v>
      </c>
      <c r="AC35" s="18">
        <f t="shared" si="0"/>
        <v>0.10061421846738688</v>
      </c>
      <c r="AD35" s="18">
        <f t="shared" si="0"/>
        <v>8.3730210359756516E-2</v>
      </c>
      <c r="AE35" s="18">
        <f t="shared" si="0"/>
        <v>-0.15657497539172821</v>
      </c>
      <c r="AF35" s="18">
        <f t="shared" si="0"/>
        <v>0.21771060043528348</v>
      </c>
      <c r="AG35" s="18">
        <f t="shared" si="0"/>
        <v>0.18768109675377681</v>
      </c>
      <c r="AH35" s="18">
        <f t="shared" si="0"/>
        <v>0.16167047903345472</v>
      </c>
      <c r="AI35" s="18">
        <f t="shared" si="0"/>
        <v>-0.133891409421</v>
      </c>
      <c r="AJ35" s="18">
        <f t="shared" si="0"/>
        <v>0.1680832290922086</v>
      </c>
      <c r="AK35" s="18">
        <f t="shared" si="0"/>
        <v>-5.3825709741676782E-2</v>
      </c>
      <c r="AL35" s="18">
        <f t="shared" si="0"/>
        <v>5.2985607748270241E-2</v>
      </c>
      <c r="AM35" s="18">
        <f t="shared" si="0"/>
        <v>-0.14596091490000643</v>
      </c>
      <c r="AN35" s="18">
        <f t="shared" si="0"/>
        <v>7.1479629761625904E-2</v>
      </c>
      <c r="AO35" s="18">
        <f t="shared" si="0"/>
        <v>-8.2261624636248157E-2</v>
      </c>
      <c r="AP35" s="18">
        <f t="shared" si="0"/>
        <v>3.1148430340739258E-2</v>
      </c>
      <c r="AQ35" s="18">
        <f t="shared" si="0"/>
        <v>-0.13819972230342009</v>
      </c>
      <c r="AR35" s="18">
        <f t="shared" si="0"/>
        <v>0.1993502231491468</v>
      </c>
      <c r="AS35" s="18">
        <f t="shared" si="0"/>
        <v>2.1821808578305412E-2</v>
      </c>
      <c r="AT35" s="18">
        <f t="shared" si="0"/>
        <v>4.9444622450069503E-2</v>
      </c>
      <c r="AU35" s="18">
        <f t="shared" si="0"/>
        <v>-0.11693803947606682</v>
      </c>
      <c r="AV35" s="18">
        <f>AVERAGE(B35:AU35)</f>
        <v>3.7647764251140414E-2</v>
      </c>
    </row>
    <row r="36" spans="1:48" s="12" customFormat="1" ht="15.75" x14ac:dyDescent="0.2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</row>
    <row r="37" spans="1:48" s="12" customFormat="1" ht="16.5" thickBo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</row>
    <row r="38" spans="1:48" ht="32.25" thickBot="1" x14ac:dyDescent="0.3">
      <c r="A38" s="16" t="s">
        <v>0</v>
      </c>
      <c r="B38" s="16" t="s">
        <v>1</v>
      </c>
      <c r="C38" s="16" t="s">
        <v>2</v>
      </c>
      <c r="D38" s="16" t="s">
        <v>3</v>
      </c>
      <c r="E38" s="16" t="s">
        <v>4</v>
      </c>
      <c r="F38" s="16" t="s">
        <v>5</v>
      </c>
      <c r="G38" s="16" t="s">
        <v>36</v>
      </c>
      <c r="H38" s="16" t="s">
        <v>37</v>
      </c>
      <c r="I38" s="16" t="s">
        <v>38</v>
      </c>
      <c r="J38" s="16" t="s">
        <v>39</v>
      </c>
      <c r="K38" s="16" t="s">
        <v>40</v>
      </c>
      <c r="L38" s="17" t="s">
        <v>41</v>
      </c>
      <c r="M38" s="17" t="s">
        <v>42</v>
      </c>
      <c r="N38" s="17" t="s">
        <v>43</v>
      </c>
      <c r="O38" s="17" t="s">
        <v>44</v>
      </c>
      <c r="P38" s="17" t="s">
        <v>45</v>
      </c>
      <c r="Q38" s="17" t="s">
        <v>46</v>
      </c>
      <c r="R38" s="17" t="s">
        <v>47</v>
      </c>
      <c r="S38" s="17" t="s">
        <v>48</v>
      </c>
      <c r="T38" s="17" t="s">
        <v>49</v>
      </c>
      <c r="U38" s="17" t="s">
        <v>50</v>
      </c>
      <c r="V38" s="17" t="s">
        <v>51</v>
      </c>
      <c r="W38" s="17" t="s">
        <v>52</v>
      </c>
      <c r="X38" s="17" t="s">
        <v>53</v>
      </c>
      <c r="Y38" s="17" t="s">
        <v>54</v>
      </c>
      <c r="Z38" s="17" t="s">
        <v>55</v>
      </c>
      <c r="AA38" s="16" t="s">
        <v>56</v>
      </c>
      <c r="AB38" s="16" t="s">
        <v>57</v>
      </c>
      <c r="AC38" s="16" t="s">
        <v>58</v>
      </c>
      <c r="AD38" s="16" t="s">
        <v>59</v>
      </c>
      <c r="AE38" s="16" t="s">
        <v>60</v>
      </c>
      <c r="AF38" s="17" t="s">
        <v>61</v>
      </c>
      <c r="AG38" s="17" t="s">
        <v>62</v>
      </c>
      <c r="AH38" s="17" t="s">
        <v>63</v>
      </c>
      <c r="AI38" s="17" t="s">
        <v>64</v>
      </c>
      <c r="AJ38" s="17" t="s">
        <v>65</v>
      </c>
      <c r="AK38" s="16" t="s">
        <v>66</v>
      </c>
      <c r="AL38" s="16" t="s">
        <v>67</v>
      </c>
      <c r="AM38" s="16" t="s">
        <v>68</v>
      </c>
      <c r="AN38" s="16" t="s">
        <v>69</v>
      </c>
      <c r="AO38" s="16" t="s">
        <v>70</v>
      </c>
      <c r="AP38" s="16" t="s">
        <v>71</v>
      </c>
      <c r="AQ38" s="16" t="s">
        <v>72</v>
      </c>
      <c r="AR38" s="16" t="s">
        <v>73</v>
      </c>
      <c r="AS38" s="16" t="s">
        <v>74</v>
      </c>
      <c r="AT38" s="16" t="s">
        <v>75</v>
      </c>
      <c r="AU38" s="17" t="s">
        <v>76</v>
      </c>
      <c r="AV38" s="17" t="s">
        <v>77</v>
      </c>
    </row>
    <row r="39" spans="1:48" ht="15.75" thickBot="1" x14ac:dyDescent="0.3">
      <c r="A39" s="1" t="s">
        <v>34</v>
      </c>
      <c r="B39" s="13">
        <v>3590.99</v>
      </c>
      <c r="C39" s="13">
        <v>3329.03</v>
      </c>
      <c r="D39" s="13">
        <v>4050.3</v>
      </c>
      <c r="E39" s="13">
        <v>4653.04</v>
      </c>
      <c r="F39" s="13">
        <v>-8530.6</v>
      </c>
      <c r="G39" s="13">
        <v>4270.7</v>
      </c>
      <c r="H39" s="13">
        <v>4020.86</v>
      </c>
      <c r="I39" s="13">
        <v>2705.13</v>
      </c>
      <c r="J39" s="13">
        <v>2654.95</v>
      </c>
      <c r="K39" s="13">
        <v>6114.17</v>
      </c>
      <c r="L39" s="13">
        <v>7839.46</v>
      </c>
      <c r="M39" s="13">
        <v>7683.39</v>
      </c>
      <c r="N39" s="13">
        <v>8708.26</v>
      </c>
      <c r="O39" s="13">
        <v>6780.04</v>
      </c>
      <c r="P39" s="13">
        <v>6593.54</v>
      </c>
      <c r="Q39" s="13">
        <v>3614.94</v>
      </c>
      <c r="R39" s="13">
        <v>2204.87</v>
      </c>
      <c r="S39" s="13">
        <v>1193.27</v>
      </c>
      <c r="T39" s="14">
        <v>-436.83</v>
      </c>
      <c r="U39" s="13">
        <v>1803.83</v>
      </c>
      <c r="V39" s="13">
        <v>3837.81</v>
      </c>
      <c r="W39" s="13">
        <v>1538.99</v>
      </c>
      <c r="X39" s="13">
        <v>2491.09</v>
      </c>
      <c r="Y39" s="13">
        <v>2456.09</v>
      </c>
      <c r="Z39" s="13">
        <v>3267.86</v>
      </c>
      <c r="AA39" s="13">
        <v>2318.15</v>
      </c>
      <c r="AB39" s="13">
        <v>1030.93</v>
      </c>
      <c r="AC39" s="13">
        <v>1338.09</v>
      </c>
      <c r="AD39" s="13">
        <v>1294.08</v>
      </c>
      <c r="AE39" s="14">
        <v>506.45</v>
      </c>
      <c r="AF39" s="13">
        <v>1414.96</v>
      </c>
      <c r="AG39" s="13">
        <v>1204.5999999999999</v>
      </c>
      <c r="AH39" s="14">
        <v>249.56</v>
      </c>
      <c r="AI39" s="14">
        <v>575.42999999999995</v>
      </c>
      <c r="AJ39" s="14">
        <v>520.44000000000005</v>
      </c>
      <c r="AK39" s="14">
        <v>298.35000000000002</v>
      </c>
      <c r="AL39" s="14">
        <v>-288.48</v>
      </c>
      <c r="AM39" s="14">
        <v>425.34</v>
      </c>
      <c r="AN39" s="14">
        <v>814.09</v>
      </c>
      <c r="AO39" s="14">
        <v>880.64</v>
      </c>
      <c r="AP39" s="13">
        <v>2476.41</v>
      </c>
      <c r="AQ39" s="13">
        <v>2267.98</v>
      </c>
      <c r="AR39" s="13">
        <v>1978.64</v>
      </c>
      <c r="AS39" s="13">
        <v>1518.77</v>
      </c>
      <c r="AT39" s="13">
        <v>1558.67</v>
      </c>
      <c r="AU39" s="13">
        <v>1356.11</v>
      </c>
      <c r="AV39" s="13">
        <v>1309.21</v>
      </c>
    </row>
    <row r="40" spans="1:48" ht="15.75" thickBot="1" x14ac:dyDescent="0.3">
      <c r="A40" s="1" t="s">
        <v>6</v>
      </c>
      <c r="B40" s="13">
        <v>32399.48</v>
      </c>
      <c r="C40" s="13">
        <v>32959.660000000003</v>
      </c>
      <c r="D40" s="13">
        <v>36066.589999999997</v>
      </c>
      <c r="E40" s="13">
        <v>34199.01</v>
      </c>
      <c r="F40" s="13">
        <v>32793.589999999997</v>
      </c>
      <c r="G40" s="13">
        <v>32341.62</v>
      </c>
      <c r="H40" s="13">
        <v>33798.07</v>
      </c>
      <c r="I40" s="13">
        <v>30465.29</v>
      </c>
      <c r="J40" s="13">
        <v>31860.83</v>
      </c>
      <c r="K40" s="13">
        <v>32021.09</v>
      </c>
      <c r="L40" s="13">
        <v>36680.93</v>
      </c>
      <c r="M40" s="13">
        <v>31964.25</v>
      </c>
      <c r="N40" s="13">
        <v>32582.27</v>
      </c>
      <c r="O40" s="13">
        <v>20798.310000000001</v>
      </c>
      <c r="P40" s="13">
        <v>20817.72</v>
      </c>
      <c r="Q40" s="13">
        <v>17669.53</v>
      </c>
      <c r="R40" s="13">
        <v>16361.98</v>
      </c>
      <c r="S40" s="13">
        <v>9338.7800000000007</v>
      </c>
      <c r="T40" s="13">
        <v>14211.43</v>
      </c>
      <c r="U40" s="13">
        <v>14817.34</v>
      </c>
      <c r="V40" s="13">
        <v>14486.58</v>
      </c>
      <c r="W40" s="13">
        <v>15812.75</v>
      </c>
      <c r="X40" s="13">
        <v>18498.07</v>
      </c>
      <c r="Y40" s="13">
        <v>16691.22</v>
      </c>
      <c r="Z40" s="13">
        <v>17579.75</v>
      </c>
      <c r="AA40" s="13">
        <v>16154.32</v>
      </c>
      <c r="AB40" s="13">
        <v>15946.2</v>
      </c>
      <c r="AC40" s="13">
        <v>15309.94</v>
      </c>
      <c r="AD40" s="13">
        <v>13910.36</v>
      </c>
      <c r="AE40" s="13">
        <v>12835.63</v>
      </c>
      <c r="AF40" s="13">
        <v>15218.46</v>
      </c>
      <c r="AG40" s="13">
        <v>12497.6</v>
      </c>
      <c r="AH40" s="13">
        <v>10522.69</v>
      </c>
      <c r="AI40" s="13">
        <v>9058.24</v>
      </c>
      <c r="AJ40" s="13">
        <v>10458.549999999999</v>
      </c>
      <c r="AK40" s="13">
        <v>8953.6</v>
      </c>
      <c r="AL40" s="13">
        <v>9462.9500000000007</v>
      </c>
      <c r="AM40" s="13">
        <v>8986.7800000000007</v>
      </c>
      <c r="AN40" s="13">
        <v>10522.68</v>
      </c>
      <c r="AO40" s="13">
        <v>9820.7000000000007</v>
      </c>
      <c r="AP40" s="13">
        <v>10700.98</v>
      </c>
      <c r="AQ40" s="13">
        <v>10377.73</v>
      </c>
      <c r="AR40" s="13">
        <v>12041.92</v>
      </c>
      <c r="AS40" s="13">
        <v>10040.370000000001</v>
      </c>
      <c r="AT40" s="13">
        <v>9825.9500000000007</v>
      </c>
      <c r="AU40" s="13">
        <v>9363</v>
      </c>
      <c r="AV40" s="13">
        <v>10602.88</v>
      </c>
    </row>
    <row r="41" spans="1:48" ht="15.75" x14ac:dyDescent="0.25">
      <c r="A41" s="5" t="s">
        <v>79</v>
      </c>
      <c r="B41" s="18">
        <f>B39/B40</f>
        <v>0.11083480352153799</v>
      </c>
      <c r="C41" s="18">
        <f t="shared" ref="C41:AV41" si="1">C39/C40</f>
        <v>0.10100316568799557</v>
      </c>
      <c r="D41" s="18">
        <f t="shared" si="1"/>
        <v>0.11230060840240234</v>
      </c>
      <c r="E41" s="18">
        <f t="shared" si="1"/>
        <v>0.13605773968310778</v>
      </c>
      <c r="F41" s="18">
        <f t="shared" si="1"/>
        <v>-0.26013010469424058</v>
      </c>
      <c r="G41" s="18">
        <f t="shared" si="1"/>
        <v>0.13204966232365603</v>
      </c>
      <c r="H41" s="18">
        <f t="shared" si="1"/>
        <v>0.11896714812413846</v>
      </c>
      <c r="I41" s="18">
        <f t="shared" si="1"/>
        <v>8.8793837183233776E-2</v>
      </c>
      <c r="J41" s="18">
        <f t="shared" si="1"/>
        <v>8.3329593108528555E-2</v>
      </c>
      <c r="K41" s="18">
        <f t="shared" si="1"/>
        <v>0.19094196980802339</v>
      </c>
      <c r="L41" s="18">
        <f t="shared" si="1"/>
        <v>0.2137203173420085</v>
      </c>
      <c r="M41" s="18">
        <f t="shared" si="1"/>
        <v>0.24037448086534177</v>
      </c>
      <c r="N41" s="18">
        <f t="shared" si="1"/>
        <v>0.26726989862891687</v>
      </c>
      <c r="O41" s="18">
        <f t="shared" si="1"/>
        <v>0.32598994822175453</v>
      </c>
      <c r="P41" s="18">
        <f t="shared" si="1"/>
        <v>0.31672728809879275</v>
      </c>
      <c r="Q41" s="18">
        <f t="shared" si="1"/>
        <v>0.20458608689648228</v>
      </c>
      <c r="R41" s="18">
        <f t="shared" si="1"/>
        <v>0.13475569582654423</v>
      </c>
      <c r="S41" s="18">
        <f t="shared" si="1"/>
        <v>0.12777579084205859</v>
      </c>
      <c r="T41" s="18">
        <f t="shared" si="1"/>
        <v>-3.073793418396319E-2</v>
      </c>
      <c r="U41" s="18">
        <f t="shared" si="1"/>
        <v>0.12173777479628596</v>
      </c>
      <c r="V41" s="18">
        <f t="shared" si="1"/>
        <v>0.26492174136338598</v>
      </c>
      <c r="W41" s="18">
        <f t="shared" si="1"/>
        <v>9.732589208075762E-2</v>
      </c>
      <c r="X41" s="18">
        <f t="shared" si="1"/>
        <v>0.13466756261599183</v>
      </c>
      <c r="Y41" s="18">
        <f t="shared" si="1"/>
        <v>0.14714862065205539</v>
      </c>
      <c r="Z41" s="18">
        <f t="shared" si="1"/>
        <v>0.18588774015557674</v>
      </c>
      <c r="AA41" s="18">
        <f t="shared" si="1"/>
        <v>0.14350031446696612</v>
      </c>
      <c r="AB41" s="18">
        <f t="shared" si="1"/>
        <v>6.4650512347769376E-2</v>
      </c>
      <c r="AC41" s="18">
        <f t="shared" si="1"/>
        <v>8.7400081254400727E-2</v>
      </c>
      <c r="AD41" s="18">
        <f t="shared" si="1"/>
        <v>9.3029943150285108E-2</v>
      </c>
      <c r="AE41" s="18">
        <f t="shared" si="1"/>
        <v>3.945657517394939E-2</v>
      </c>
      <c r="AF41" s="18">
        <f t="shared" si="1"/>
        <v>9.2976556103574221E-2</v>
      </c>
      <c r="AG41" s="18">
        <f t="shared" si="1"/>
        <v>9.638650620919216E-2</v>
      </c>
      <c r="AH41" s="18">
        <f t="shared" si="1"/>
        <v>2.3716369103337645E-2</v>
      </c>
      <c r="AI41" s="18">
        <f t="shared" si="1"/>
        <v>6.3525585544211671E-2</v>
      </c>
      <c r="AJ41" s="18">
        <f t="shared" si="1"/>
        <v>4.9762156321861067E-2</v>
      </c>
      <c r="AK41" s="18">
        <f t="shared" si="1"/>
        <v>3.3321792351679771E-2</v>
      </c>
      <c r="AL41" s="18">
        <f t="shared" si="1"/>
        <v>-3.0485208101067848E-2</v>
      </c>
      <c r="AM41" s="18">
        <f t="shared" si="1"/>
        <v>4.7329521808701217E-2</v>
      </c>
      <c r="AN41" s="18">
        <f t="shared" si="1"/>
        <v>7.7365271964936685E-2</v>
      </c>
      <c r="AO41" s="18">
        <f t="shared" si="1"/>
        <v>8.9671815654688555E-2</v>
      </c>
      <c r="AP41" s="18">
        <f t="shared" si="1"/>
        <v>0.23141899153161671</v>
      </c>
      <c r="AQ41" s="18">
        <f t="shared" si="1"/>
        <v>0.21854297616145343</v>
      </c>
      <c r="AR41" s="18">
        <f t="shared" si="1"/>
        <v>0.16431266774733597</v>
      </c>
      <c r="AS41" s="18">
        <f t="shared" si="1"/>
        <v>0.1512663377943243</v>
      </c>
      <c r="AT41" s="18">
        <f t="shared" si="1"/>
        <v>0.15862791892895853</v>
      </c>
      <c r="AU41" s="18">
        <f t="shared" si="1"/>
        <v>0.14483712485314534</v>
      </c>
      <c r="AV41" s="18">
        <f t="shared" si="1"/>
        <v>0.12347682893704354</v>
      </c>
    </row>
    <row r="42" spans="1:48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ht="15.75" thickBot="1" x14ac:dyDescent="0.3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ht="32.25" thickBot="1" x14ac:dyDescent="0.3">
      <c r="A44" s="16" t="s">
        <v>0</v>
      </c>
      <c r="B44" s="16" t="s">
        <v>1</v>
      </c>
      <c r="C44" s="16" t="s">
        <v>2</v>
      </c>
      <c r="D44" s="16" t="s">
        <v>3</v>
      </c>
      <c r="E44" s="16" t="s">
        <v>4</v>
      </c>
      <c r="F44" s="16" t="s">
        <v>5</v>
      </c>
      <c r="G44" s="16" t="s">
        <v>36</v>
      </c>
      <c r="H44" s="16" t="s">
        <v>37</v>
      </c>
      <c r="I44" s="16" t="s">
        <v>38</v>
      </c>
      <c r="J44" s="16" t="s">
        <v>39</v>
      </c>
      <c r="K44" s="16" t="s">
        <v>40</v>
      </c>
      <c r="L44" s="17" t="s">
        <v>41</v>
      </c>
      <c r="M44" s="17" t="s">
        <v>42</v>
      </c>
      <c r="N44" s="17" t="s">
        <v>43</v>
      </c>
      <c r="O44" s="17" t="s">
        <v>44</v>
      </c>
      <c r="P44" s="17" t="s">
        <v>45</v>
      </c>
      <c r="Q44" s="17" t="s">
        <v>46</v>
      </c>
      <c r="R44" s="17" t="s">
        <v>47</v>
      </c>
      <c r="S44" s="17" t="s">
        <v>48</v>
      </c>
      <c r="T44" s="17" t="s">
        <v>49</v>
      </c>
      <c r="U44" s="17" t="s">
        <v>50</v>
      </c>
      <c r="V44" s="17" t="s">
        <v>51</v>
      </c>
      <c r="W44" s="17" t="s">
        <v>52</v>
      </c>
      <c r="X44" s="17" t="s">
        <v>53</v>
      </c>
      <c r="Y44" s="17" t="s">
        <v>54</v>
      </c>
      <c r="Z44" s="17" t="s">
        <v>55</v>
      </c>
      <c r="AA44" s="16" t="s">
        <v>56</v>
      </c>
      <c r="AB44" s="16" t="s">
        <v>57</v>
      </c>
      <c r="AC44" s="16" t="s">
        <v>58</v>
      </c>
      <c r="AD44" s="16" t="s">
        <v>59</v>
      </c>
      <c r="AE44" s="16" t="s">
        <v>60</v>
      </c>
      <c r="AF44" s="17" t="s">
        <v>61</v>
      </c>
      <c r="AG44" s="17" t="s">
        <v>62</v>
      </c>
      <c r="AH44" s="17" t="s">
        <v>63</v>
      </c>
      <c r="AI44" s="17" t="s">
        <v>64</v>
      </c>
      <c r="AJ44" s="17" t="s">
        <v>65</v>
      </c>
      <c r="AK44" s="16" t="s">
        <v>66</v>
      </c>
      <c r="AL44" s="16" t="s">
        <v>67</v>
      </c>
      <c r="AM44" s="16" t="s">
        <v>68</v>
      </c>
      <c r="AN44" s="16" t="s">
        <v>69</v>
      </c>
      <c r="AO44" s="16" t="s">
        <v>70</v>
      </c>
      <c r="AP44" s="16" t="s">
        <v>71</v>
      </c>
      <c r="AQ44" s="16" t="s">
        <v>72</v>
      </c>
      <c r="AR44" s="16" t="s">
        <v>73</v>
      </c>
      <c r="AS44" s="16" t="s">
        <v>74</v>
      </c>
      <c r="AT44" s="16" t="s">
        <v>75</v>
      </c>
      <c r="AU44" s="17" t="s">
        <v>76</v>
      </c>
      <c r="AV44" s="17" t="s">
        <v>77</v>
      </c>
    </row>
    <row r="45" spans="1:48" ht="15.75" thickBot="1" x14ac:dyDescent="0.3">
      <c r="A45" s="1" t="s">
        <v>84</v>
      </c>
      <c r="B45" s="13">
        <v>1556.36</v>
      </c>
      <c r="C45" s="13">
        <v>1521.58</v>
      </c>
      <c r="D45" s="13">
        <v>1527.84</v>
      </c>
      <c r="E45" s="13">
        <v>1507.61</v>
      </c>
      <c r="F45" s="13">
        <v>1425.74</v>
      </c>
      <c r="G45" s="13">
        <v>1332.29</v>
      </c>
      <c r="H45" s="13">
        <v>1371.17</v>
      </c>
      <c r="I45" s="13">
        <v>1370.54</v>
      </c>
      <c r="J45" s="13">
        <v>1348.93</v>
      </c>
      <c r="K45" s="13">
        <v>1343.97</v>
      </c>
      <c r="L45" s="13">
        <v>1379.78</v>
      </c>
      <c r="M45" s="13">
        <v>1360.2</v>
      </c>
      <c r="N45" s="13">
        <v>1351.98</v>
      </c>
      <c r="O45" s="14">
        <v>974.89</v>
      </c>
      <c r="P45" s="13">
        <v>1040.95</v>
      </c>
      <c r="Q45" s="14">
        <v>971.08</v>
      </c>
      <c r="R45" s="13">
        <v>1006</v>
      </c>
      <c r="S45" s="14">
        <v>969.29</v>
      </c>
      <c r="T45" s="13">
        <v>1002.26</v>
      </c>
      <c r="U45" s="14">
        <v>979.87</v>
      </c>
      <c r="V45" s="14">
        <v>970.33</v>
      </c>
      <c r="W45" s="14">
        <v>967.66</v>
      </c>
      <c r="X45" s="14">
        <v>952.94</v>
      </c>
      <c r="Y45" s="14">
        <v>939.73</v>
      </c>
      <c r="Z45" s="14">
        <v>923.62</v>
      </c>
      <c r="AA45" s="14">
        <v>986.67</v>
      </c>
      <c r="AB45" s="14">
        <v>934.77</v>
      </c>
      <c r="AC45" s="14">
        <v>913.86</v>
      </c>
      <c r="AD45" s="14">
        <v>912.42</v>
      </c>
      <c r="AE45" s="14">
        <v>966.41</v>
      </c>
      <c r="AF45" s="13">
        <v>1057.49</v>
      </c>
      <c r="AG45" s="14">
        <v>869.44</v>
      </c>
      <c r="AH45" s="14">
        <v>911.65</v>
      </c>
      <c r="AI45" s="14">
        <v>702.97</v>
      </c>
      <c r="AJ45" s="14">
        <v>753.62</v>
      </c>
      <c r="AK45" s="14">
        <v>736.14</v>
      </c>
      <c r="AL45" s="14">
        <v>743.43</v>
      </c>
      <c r="AM45" s="14">
        <v>729.09</v>
      </c>
      <c r="AN45" s="14">
        <v>572.46</v>
      </c>
      <c r="AO45" s="14">
        <v>457.3</v>
      </c>
      <c r="AP45" s="14">
        <v>474.57</v>
      </c>
      <c r="AQ45" s="14">
        <v>493.26</v>
      </c>
      <c r="AR45" s="14">
        <v>461.63</v>
      </c>
      <c r="AS45" s="14">
        <v>456.46</v>
      </c>
      <c r="AT45" s="14">
        <v>551.03</v>
      </c>
      <c r="AU45" s="14">
        <v>459.58</v>
      </c>
      <c r="AV45" s="14">
        <v>460.77</v>
      </c>
    </row>
    <row r="46" spans="1:48" ht="15.75" thickBot="1" x14ac:dyDescent="0.3">
      <c r="A46" s="1" t="s">
        <v>6</v>
      </c>
      <c r="B46" s="13">
        <v>32399.48</v>
      </c>
      <c r="C46" s="13">
        <v>32959.660000000003</v>
      </c>
      <c r="D46" s="13">
        <v>36066.589999999997</v>
      </c>
      <c r="E46" s="13">
        <v>34199.01</v>
      </c>
      <c r="F46" s="13">
        <v>32793.589999999997</v>
      </c>
      <c r="G46" s="13">
        <v>32341.62</v>
      </c>
      <c r="H46" s="13">
        <v>33798.07</v>
      </c>
      <c r="I46" s="13">
        <v>30465.29</v>
      </c>
      <c r="J46" s="13">
        <v>31860.83</v>
      </c>
      <c r="K46" s="13">
        <v>32021.09</v>
      </c>
      <c r="L46" s="13">
        <v>36680.93</v>
      </c>
      <c r="M46" s="13">
        <v>31964.25</v>
      </c>
      <c r="N46" s="13">
        <v>32582.27</v>
      </c>
      <c r="O46" s="13">
        <v>20798.310000000001</v>
      </c>
      <c r="P46" s="13">
        <v>20817.72</v>
      </c>
      <c r="Q46" s="13">
        <v>17669.53</v>
      </c>
      <c r="R46" s="13">
        <v>16361.98</v>
      </c>
      <c r="S46" s="13">
        <v>9338.7800000000007</v>
      </c>
      <c r="T46" s="13">
        <v>14211.43</v>
      </c>
      <c r="U46" s="13">
        <v>14817.34</v>
      </c>
      <c r="V46" s="13">
        <v>14486.58</v>
      </c>
      <c r="W46" s="13">
        <v>15812.75</v>
      </c>
      <c r="X46" s="13">
        <v>18498.07</v>
      </c>
      <c r="Y46" s="13">
        <v>16691.22</v>
      </c>
      <c r="Z46" s="13">
        <v>17579.75</v>
      </c>
      <c r="AA46" s="13">
        <v>16154.32</v>
      </c>
      <c r="AB46" s="13">
        <v>15946.2</v>
      </c>
      <c r="AC46" s="13">
        <v>15309.94</v>
      </c>
      <c r="AD46" s="13">
        <v>13910.36</v>
      </c>
      <c r="AE46" s="13">
        <v>12835.63</v>
      </c>
      <c r="AF46" s="13">
        <v>15218.46</v>
      </c>
      <c r="AG46" s="13">
        <v>12497.6</v>
      </c>
      <c r="AH46" s="13">
        <v>10522.69</v>
      </c>
      <c r="AI46" s="13">
        <v>9058.24</v>
      </c>
      <c r="AJ46" s="13">
        <v>10458.549999999999</v>
      </c>
      <c r="AK46" s="13">
        <v>8953.6</v>
      </c>
      <c r="AL46" s="13">
        <v>9462.9500000000007</v>
      </c>
      <c r="AM46" s="13">
        <v>8986.7800000000007</v>
      </c>
      <c r="AN46" s="13">
        <v>10522.68</v>
      </c>
      <c r="AO46" s="13">
        <v>9820.7000000000007</v>
      </c>
      <c r="AP46" s="13">
        <v>10700.98</v>
      </c>
      <c r="AQ46" s="13">
        <v>10377.73</v>
      </c>
      <c r="AR46" s="13">
        <v>12041.92</v>
      </c>
      <c r="AS46" s="13">
        <v>10040.370000000001</v>
      </c>
      <c r="AT46" s="13">
        <v>9825.9500000000007</v>
      </c>
      <c r="AU46" s="13">
        <v>9363</v>
      </c>
      <c r="AV46" s="13">
        <v>10602.88</v>
      </c>
    </row>
    <row r="47" spans="1:48" ht="15.75" x14ac:dyDescent="0.25">
      <c r="A47" s="5" t="s">
        <v>80</v>
      </c>
      <c r="B47" s="19">
        <f>B45/B46</f>
        <v>4.8036573426487088E-2</v>
      </c>
      <c r="C47" s="19">
        <f t="shared" ref="C47:AV47" si="2">C45/C46</f>
        <v>4.6164917963352772E-2</v>
      </c>
      <c r="D47" s="19">
        <f t="shared" si="2"/>
        <v>4.2361642728076042E-2</v>
      </c>
      <c r="E47" s="19">
        <f t="shared" si="2"/>
        <v>4.4083439842264434E-2</v>
      </c>
      <c r="F47" s="19">
        <f t="shared" si="2"/>
        <v>4.3476179338706136E-2</v>
      </c>
      <c r="G47" s="19">
        <f t="shared" si="2"/>
        <v>4.1194287732030738E-2</v>
      </c>
      <c r="H47" s="19">
        <f t="shared" si="2"/>
        <v>4.0569476304416201E-2</v>
      </c>
      <c r="I47" s="19">
        <f t="shared" si="2"/>
        <v>4.4986934311145567E-2</v>
      </c>
      <c r="J47" s="19">
        <f t="shared" si="2"/>
        <v>4.2338193951632776E-2</v>
      </c>
      <c r="K47" s="19">
        <f t="shared" si="2"/>
        <v>4.1971400723710528E-2</v>
      </c>
      <c r="L47" s="19">
        <f t="shared" si="2"/>
        <v>3.7615731116959136E-2</v>
      </c>
      <c r="M47" s="19">
        <f t="shared" si="2"/>
        <v>4.2553790562894482E-2</v>
      </c>
      <c r="N47" s="19">
        <f t="shared" si="2"/>
        <v>4.1494346465117377E-2</v>
      </c>
      <c r="O47" s="19">
        <f t="shared" si="2"/>
        <v>4.6873520011962509E-2</v>
      </c>
      <c r="P47" s="19">
        <f t="shared" si="2"/>
        <v>5.0003074304006391E-2</v>
      </c>
      <c r="Q47" s="19">
        <f t="shared" si="2"/>
        <v>5.4957885127674598E-2</v>
      </c>
      <c r="R47" s="19">
        <f t="shared" si="2"/>
        <v>6.1484001325023012E-2</v>
      </c>
      <c r="S47" s="19">
        <f t="shared" si="2"/>
        <v>0.10379192999513855</v>
      </c>
      <c r="T47" s="19">
        <f t="shared" si="2"/>
        <v>7.0524922544740395E-2</v>
      </c>
      <c r="U47" s="19">
        <f t="shared" si="2"/>
        <v>6.6129953149485665E-2</v>
      </c>
      <c r="V47" s="19">
        <f t="shared" si="2"/>
        <v>6.6981302695322154E-2</v>
      </c>
      <c r="W47" s="19">
        <f t="shared" si="2"/>
        <v>6.1194921819417873E-2</v>
      </c>
      <c r="X47" s="19">
        <f t="shared" si="2"/>
        <v>5.1515644605085835E-2</v>
      </c>
      <c r="Y47" s="19">
        <f t="shared" si="2"/>
        <v>5.6300857576618124E-2</v>
      </c>
      <c r="Z47" s="19">
        <f t="shared" si="2"/>
        <v>5.2538858629957767E-2</v>
      </c>
      <c r="AA47" s="19">
        <f t="shared" si="2"/>
        <v>6.1077779813696893E-2</v>
      </c>
      <c r="AB47" s="19">
        <f t="shared" si="2"/>
        <v>5.8620235542010006E-2</v>
      </c>
      <c r="AC47" s="19">
        <f t="shared" si="2"/>
        <v>5.9690632360414213E-2</v>
      </c>
      <c r="AD47" s="19">
        <f t="shared" si="2"/>
        <v>6.5592838718767879E-2</v>
      </c>
      <c r="AE47" s="19">
        <f t="shared" si="2"/>
        <v>7.5291201133095925E-2</v>
      </c>
      <c r="AF47" s="19">
        <f t="shared" si="2"/>
        <v>6.9487320004783665E-2</v>
      </c>
      <c r="AG47" s="19">
        <f t="shared" si="2"/>
        <v>6.9568557162975289E-2</v>
      </c>
      <c r="AH47" s="19">
        <f t="shared" si="2"/>
        <v>8.6636591974105476E-2</v>
      </c>
      <c r="AI47" s="19">
        <f t="shared" si="2"/>
        <v>7.7605583424594629E-2</v>
      </c>
      <c r="AJ47" s="19">
        <f t="shared" si="2"/>
        <v>7.2057790037815955E-2</v>
      </c>
      <c r="AK47" s="19">
        <f t="shared" si="2"/>
        <v>8.2217208720514648E-2</v>
      </c>
      <c r="AL47" s="19">
        <f t="shared" si="2"/>
        <v>7.8562181983419535E-2</v>
      </c>
      <c r="AM47" s="19">
        <f t="shared" si="2"/>
        <v>8.1129169735989978E-2</v>
      </c>
      <c r="AN47" s="19">
        <f t="shared" si="2"/>
        <v>5.4402490620260237E-2</v>
      </c>
      <c r="AO47" s="19">
        <f t="shared" si="2"/>
        <v>4.6564908815053915E-2</v>
      </c>
      <c r="AP47" s="19">
        <f t="shared" si="2"/>
        <v>4.4348274644004572E-2</v>
      </c>
      <c r="AQ47" s="19">
        <f t="shared" si="2"/>
        <v>4.7530625676328063E-2</v>
      </c>
      <c r="AR47" s="19">
        <f t="shared" si="2"/>
        <v>3.8335248863968538E-2</v>
      </c>
      <c r="AS47" s="19">
        <f t="shared" si="2"/>
        <v>4.5462468016616915E-2</v>
      </c>
      <c r="AT47" s="19">
        <f t="shared" si="2"/>
        <v>5.6079055969142928E-2</v>
      </c>
      <c r="AU47" s="19">
        <f t="shared" si="2"/>
        <v>4.9084695076364412E-2</v>
      </c>
      <c r="AV47" s="19">
        <f t="shared" si="2"/>
        <v>4.3457060723124281E-2</v>
      </c>
    </row>
    <row r="48" spans="1:48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ht="15.75" thickBot="1" x14ac:dyDescent="0.3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ht="32.25" thickBot="1" x14ac:dyDescent="0.3">
      <c r="A50" s="16" t="s">
        <v>0</v>
      </c>
      <c r="B50" s="16" t="s">
        <v>1</v>
      </c>
      <c r="C50" s="16" t="s">
        <v>2</v>
      </c>
      <c r="D50" s="16" t="s">
        <v>3</v>
      </c>
      <c r="E50" s="16" t="s">
        <v>4</v>
      </c>
      <c r="F50" s="16" t="s">
        <v>5</v>
      </c>
      <c r="G50" s="16" t="s">
        <v>36</v>
      </c>
      <c r="H50" s="16" t="s">
        <v>37</v>
      </c>
      <c r="I50" s="16" t="s">
        <v>38</v>
      </c>
      <c r="J50" s="16" t="s">
        <v>39</v>
      </c>
      <c r="K50" s="16" t="s">
        <v>40</v>
      </c>
      <c r="L50" s="17" t="s">
        <v>41</v>
      </c>
      <c r="M50" s="17" t="s">
        <v>42</v>
      </c>
      <c r="N50" s="17" t="s">
        <v>43</v>
      </c>
      <c r="O50" s="17" t="s">
        <v>44</v>
      </c>
      <c r="P50" s="17" t="s">
        <v>45</v>
      </c>
      <c r="Q50" s="17" t="s">
        <v>46</v>
      </c>
      <c r="R50" s="17" t="s">
        <v>47</v>
      </c>
      <c r="S50" s="17" t="s">
        <v>48</v>
      </c>
      <c r="T50" s="17" t="s">
        <v>49</v>
      </c>
      <c r="U50" s="17" t="s">
        <v>50</v>
      </c>
      <c r="V50" s="17" t="s">
        <v>51</v>
      </c>
      <c r="W50" s="17" t="s">
        <v>52</v>
      </c>
      <c r="X50" s="17" t="s">
        <v>53</v>
      </c>
      <c r="Y50" s="17" t="s">
        <v>54</v>
      </c>
      <c r="Z50" s="17" t="s">
        <v>55</v>
      </c>
      <c r="AA50" s="16" t="s">
        <v>56</v>
      </c>
      <c r="AB50" s="16" t="s">
        <v>57</v>
      </c>
      <c r="AC50" s="16" t="s">
        <v>58</v>
      </c>
      <c r="AD50" s="16" t="s">
        <v>59</v>
      </c>
      <c r="AE50" s="16" t="s">
        <v>60</v>
      </c>
      <c r="AF50" s="17" t="s">
        <v>61</v>
      </c>
      <c r="AG50" s="17" t="s">
        <v>62</v>
      </c>
      <c r="AH50" s="17" t="s">
        <v>63</v>
      </c>
      <c r="AI50" s="17" t="s">
        <v>64</v>
      </c>
      <c r="AJ50" s="17" t="s">
        <v>65</v>
      </c>
      <c r="AK50" s="16" t="s">
        <v>66</v>
      </c>
      <c r="AL50" s="16" t="s">
        <v>67</v>
      </c>
      <c r="AM50" s="16" t="s">
        <v>68</v>
      </c>
      <c r="AN50" s="16" t="s">
        <v>69</v>
      </c>
      <c r="AO50" s="16" t="s">
        <v>70</v>
      </c>
      <c r="AP50" s="16" t="s">
        <v>71</v>
      </c>
      <c r="AQ50" s="16" t="s">
        <v>72</v>
      </c>
      <c r="AR50" s="16" t="s">
        <v>73</v>
      </c>
      <c r="AS50" s="16" t="s">
        <v>74</v>
      </c>
      <c r="AT50" s="16" t="s">
        <v>75</v>
      </c>
      <c r="AU50" s="17" t="s">
        <v>76</v>
      </c>
      <c r="AV50" s="17" t="s">
        <v>77</v>
      </c>
    </row>
    <row r="51" spans="1:48" ht="15.75" thickBot="1" x14ac:dyDescent="0.3">
      <c r="A51" s="1" t="s">
        <v>26</v>
      </c>
      <c r="B51" s="13">
        <v>1132.8499999999999</v>
      </c>
      <c r="C51" s="14">
        <v>924.76</v>
      </c>
      <c r="D51" s="14">
        <v>941.65</v>
      </c>
      <c r="E51" s="13">
        <v>1057.9100000000001</v>
      </c>
      <c r="F51" s="13">
        <v>1124.49</v>
      </c>
      <c r="G51" s="13">
        <v>1015.61</v>
      </c>
      <c r="H51" s="13">
        <v>1038.3699999999999</v>
      </c>
      <c r="I51" s="13">
        <v>1073.25</v>
      </c>
      <c r="J51" s="14">
        <v>958.17</v>
      </c>
      <c r="K51" s="14">
        <v>722.35</v>
      </c>
      <c r="L51" s="14">
        <v>645.59</v>
      </c>
      <c r="M51" s="14">
        <v>644.12</v>
      </c>
      <c r="N51" s="14">
        <v>729.78</v>
      </c>
      <c r="O51" s="14">
        <v>668.52</v>
      </c>
      <c r="P51" s="14">
        <v>829.71</v>
      </c>
      <c r="Q51" s="14">
        <v>800.05</v>
      </c>
      <c r="R51" s="14">
        <v>855.74</v>
      </c>
      <c r="S51" s="14">
        <v>908.34</v>
      </c>
      <c r="T51" s="14">
        <v>804</v>
      </c>
      <c r="U51" s="14">
        <v>783.87</v>
      </c>
      <c r="V51" s="14">
        <v>720</v>
      </c>
      <c r="W51" s="14">
        <v>723.14</v>
      </c>
      <c r="X51" s="14">
        <v>654.26</v>
      </c>
      <c r="Y51" s="14">
        <v>682.04</v>
      </c>
      <c r="Z51" s="14">
        <v>803.84</v>
      </c>
      <c r="AA51" s="14">
        <v>683.44</v>
      </c>
      <c r="AB51" s="14">
        <v>731.14</v>
      </c>
      <c r="AC51" s="14">
        <v>670.18</v>
      </c>
      <c r="AD51" s="14">
        <v>709.16</v>
      </c>
      <c r="AE51" s="14">
        <v>700.14</v>
      </c>
      <c r="AF51" s="14">
        <v>652.91999999999996</v>
      </c>
      <c r="AG51" s="14">
        <v>769.72</v>
      </c>
      <c r="AH51" s="14">
        <v>736.72</v>
      </c>
      <c r="AI51" s="14">
        <v>529.19000000000005</v>
      </c>
      <c r="AJ51" s="14">
        <v>471.66</v>
      </c>
      <c r="AK51" s="14">
        <v>435.64</v>
      </c>
      <c r="AL51" s="14">
        <v>433.28</v>
      </c>
      <c r="AM51" s="14">
        <v>507.47</v>
      </c>
      <c r="AN51" s="14">
        <v>532.37</v>
      </c>
      <c r="AO51" s="14">
        <v>462.44</v>
      </c>
      <c r="AP51" s="14">
        <v>488.8</v>
      </c>
      <c r="AQ51" s="14">
        <v>492.34</v>
      </c>
      <c r="AR51" s="14">
        <v>464.64</v>
      </c>
      <c r="AS51" s="14">
        <v>452.92</v>
      </c>
      <c r="AT51" s="14">
        <v>436.58</v>
      </c>
      <c r="AU51" s="14">
        <v>466.44</v>
      </c>
      <c r="AV51" s="14">
        <v>459.42</v>
      </c>
    </row>
    <row r="52" spans="1:48" ht="15.75" thickBot="1" x14ac:dyDescent="0.3">
      <c r="A52" s="1" t="s">
        <v>6</v>
      </c>
      <c r="B52" s="13">
        <v>32399.48</v>
      </c>
      <c r="C52" s="13">
        <v>32959.660000000003</v>
      </c>
      <c r="D52" s="13">
        <v>36066.589999999997</v>
      </c>
      <c r="E52" s="13">
        <v>34199.01</v>
      </c>
      <c r="F52" s="13">
        <v>32793.589999999997</v>
      </c>
      <c r="G52" s="13">
        <v>32341.62</v>
      </c>
      <c r="H52" s="13">
        <v>33798.07</v>
      </c>
      <c r="I52" s="13">
        <v>30465.29</v>
      </c>
      <c r="J52" s="13">
        <v>31860.83</v>
      </c>
      <c r="K52" s="13">
        <v>32021.09</v>
      </c>
      <c r="L52" s="13">
        <v>36680.93</v>
      </c>
      <c r="M52" s="13">
        <v>31964.25</v>
      </c>
      <c r="N52" s="13">
        <v>32582.27</v>
      </c>
      <c r="O52" s="13">
        <v>20798.310000000001</v>
      </c>
      <c r="P52" s="13">
        <v>20817.72</v>
      </c>
      <c r="Q52" s="13">
        <v>17669.53</v>
      </c>
      <c r="R52" s="13">
        <v>16361.98</v>
      </c>
      <c r="S52" s="13">
        <v>9338.7800000000007</v>
      </c>
      <c r="T52" s="13">
        <v>14211.43</v>
      </c>
      <c r="U52" s="13">
        <v>14817.34</v>
      </c>
      <c r="V52" s="13">
        <v>14486.58</v>
      </c>
      <c r="W52" s="13">
        <v>15812.75</v>
      </c>
      <c r="X52" s="13">
        <v>18498.07</v>
      </c>
      <c r="Y52" s="13">
        <v>16691.22</v>
      </c>
      <c r="Z52" s="13">
        <v>17579.75</v>
      </c>
      <c r="AA52" s="13">
        <v>16154.32</v>
      </c>
      <c r="AB52" s="13">
        <v>15946.2</v>
      </c>
      <c r="AC52" s="13">
        <v>15309.94</v>
      </c>
      <c r="AD52" s="13">
        <v>13910.36</v>
      </c>
      <c r="AE52" s="13">
        <v>12835.63</v>
      </c>
      <c r="AF52" s="13">
        <v>15218.46</v>
      </c>
      <c r="AG52" s="13">
        <v>12497.6</v>
      </c>
      <c r="AH52" s="13">
        <v>10522.69</v>
      </c>
      <c r="AI52" s="13">
        <v>9058.24</v>
      </c>
      <c r="AJ52" s="13">
        <v>10458.549999999999</v>
      </c>
      <c r="AK52" s="13">
        <v>8953.6</v>
      </c>
      <c r="AL52" s="13">
        <v>9462.9500000000007</v>
      </c>
      <c r="AM52" s="13">
        <v>8986.7800000000007</v>
      </c>
      <c r="AN52" s="13">
        <v>10522.68</v>
      </c>
      <c r="AO52" s="13">
        <v>9820.7000000000007</v>
      </c>
      <c r="AP52" s="13">
        <v>10700.98</v>
      </c>
      <c r="AQ52" s="13">
        <v>10377.73</v>
      </c>
      <c r="AR52" s="13">
        <v>12041.92</v>
      </c>
      <c r="AS52" s="13">
        <v>10040.370000000001</v>
      </c>
      <c r="AT52" s="13">
        <v>9825.9500000000007</v>
      </c>
      <c r="AU52" s="13">
        <v>9363</v>
      </c>
      <c r="AV52" s="13">
        <v>10602.88</v>
      </c>
    </row>
    <row r="53" spans="1:48" ht="17.25" customHeight="1" x14ac:dyDescent="0.25">
      <c r="A53" s="5" t="s">
        <v>81</v>
      </c>
      <c r="B53" s="19">
        <f>B51/B52</f>
        <v>3.4965067340586943E-2</v>
      </c>
      <c r="C53" s="19">
        <f t="shared" ref="C53:AV53" si="3">C51/C52</f>
        <v>2.8057328261274536E-2</v>
      </c>
      <c r="D53" s="19">
        <f t="shared" si="3"/>
        <v>2.6108650693065245E-2</v>
      </c>
      <c r="E53" s="19">
        <f t="shared" si="3"/>
        <v>3.0933936391725959E-2</v>
      </c>
      <c r="F53" s="19">
        <f t="shared" si="3"/>
        <v>3.4289932880175671E-2</v>
      </c>
      <c r="G53" s="19">
        <f t="shared" si="3"/>
        <v>3.1402570434010416E-2</v>
      </c>
      <c r="H53" s="19">
        <f t="shared" si="3"/>
        <v>3.072276020494661E-2</v>
      </c>
      <c r="I53" s="19">
        <f t="shared" si="3"/>
        <v>3.5228615910106224E-2</v>
      </c>
      <c r="J53" s="19">
        <f t="shared" si="3"/>
        <v>3.0073604485507752E-2</v>
      </c>
      <c r="K53" s="19">
        <f t="shared" si="3"/>
        <v>2.255856999246434E-2</v>
      </c>
      <c r="L53" s="19">
        <f t="shared" si="3"/>
        <v>1.7600153540272834E-2</v>
      </c>
      <c r="M53" s="19">
        <f t="shared" si="3"/>
        <v>2.015126273884105E-2</v>
      </c>
      <c r="N53" s="19">
        <f t="shared" si="3"/>
        <v>2.2398071098177014E-2</v>
      </c>
      <c r="O53" s="19">
        <f t="shared" si="3"/>
        <v>3.2142996233828609E-2</v>
      </c>
      <c r="P53" s="19">
        <f t="shared" si="3"/>
        <v>3.9855949642900373E-2</v>
      </c>
      <c r="Q53" s="19">
        <f t="shared" si="3"/>
        <v>4.5278510520653348E-2</v>
      </c>
      <c r="R53" s="19">
        <f t="shared" si="3"/>
        <v>5.230051619669502E-2</v>
      </c>
      <c r="S53" s="19">
        <f t="shared" si="3"/>
        <v>9.7265381559475644E-2</v>
      </c>
      <c r="T53" s="19">
        <f t="shared" si="3"/>
        <v>5.6574180078992752E-2</v>
      </c>
      <c r="U53" s="19">
        <f t="shared" si="3"/>
        <v>5.2902207818677306E-2</v>
      </c>
      <c r="V53" s="19">
        <f t="shared" si="3"/>
        <v>4.9701171705122948E-2</v>
      </c>
      <c r="W53" s="19">
        <f t="shared" si="3"/>
        <v>4.5731450886151999E-2</v>
      </c>
      <c r="X53" s="19">
        <f t="shared" si="3"/>
        <v>3.5369095262370615E-2</v>
      </c>
      <c r="Y53" s="19">
        <f t="shared" si="3"/>
        <v>4.0862201804301897E-2</v>
      </c>
      <c r="Z53" s="19">
        <f t="shared" si="3"/>
        <v>4.5725337391032295E-2</v>
      </c>
      <c r="AA53" s="19">
        <f t="shared" si="3"/>
        <v>4.2306949472339289E-2</v>
      </c>
      <c r="AB53" s="19">
        <f t="shared" si="3"/>
        <v>4.585042204412336E-2</v>
      </c>
      <c r="AC53" s="19">
        <f t="shared" si="3"/>
        <v>4.3774175470315362E-2</v>
      </c>
      <c r="AD53" s="19">
        <f t="shared" si="3"/>
        <v>5.0980707904036984E-2</v>
      </c>
      <c r="AE53" s="19">
        <f t="shared" si="3"/>
        <v>5.4546601919812275E-2</v>
      </c>
      <c r="AF53" s="19">
        <f t="shared" si="3"/>
        <v>4.2903158401047151E-2</v>
      </c>
      <c r="AG53" s="19">
        <f t="shared" si="3"/>
        <v>6.1589425169632568E-2</v>
      </c>
      <c r="AH53" s="19">
        <f t="shared" si="3"/>
        <v>7.0012515811071124E-2</v>
      </c>
      <c r="AI53" s="19">
        <f t="shared" si="3"/>
        <v>5.8420841134701675E-2</v>
      </c>
      <c r="AJ53" s="19">
        <f t="shared" si="3"/>
        <v>4.5098029841612847E-2</v>
      </c>
      <c r="AK53" s="19">
        <f t="shared" si="3"/>
        <v>4.8655289492494633E-2</v>
      </c>
      <c r="AL53" s="19">
        <f t="shared" si="3"/>
        <v>4.5786990314859527E-2</v>
      </c>
      <c r="AM53" s="19">
        <f t="shared" si="3"/>
        <v>5.6468501509995793E-2</v>
      </c>
      <c r="AN53" s="19">
        <f t="shared" si="3"/>
        <v>5.0592624692568811E-2</v>
      </c>
      <c r="AO53" s="19">
        <f t="shared" si="3"/>
        <v>4.7088293095196875E-2</v>
      </c>
      <c r="AP53" s="19">
        <f t="shared" si="3"/>
        <v>4.5678059392691137E-2</v>
      </c>
      <c r="AQ53" s="19">
        <f t="shared" si="3"/>
        <v>4.744197430459262E-2</v>
      </c>
      <c r="AR53" s="19">
        <f t="shared" si="3"/>
        <v>3.858520900321543E-2</v>
      </c>
      <c r="AS53" s="19">
        <f t="shared" si="3"/>
        <v>4.510989136854518E-2</v>
      </c>
      <c r="AT53" s="19">
        <f t="shared" si="3"/>
        <v>4.4431327250800172E-2</v>
      </c>
      <c r="AU53" s="19">
        <f t="shared" si="3"/>
        <v>4.9817366228772829E-2</v>
      </c>
      <c r="AV53" s="19">
        <f t="shared" si="3"/>
        <v>4.3329736826220808E-2</v>
      </c>
    </row>
    <row r="54" spans="1:48" ht="16.5" customHeight="1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ht="15.75" thickBot="1" x14ac:dyDescent="0.3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ht="32.25" thickBot="1" x14ac:dyDescent="0.3">
      <c r="A56" s="16" t="s">
        <v>0</v>
      </c>
      <c r="B56" s="16" t="s">
        <v>1</v>
      </c>
      <c r="C56" s="16" t="s">
        <v>2</v>
      </c>
      <c r="D56" s="16" t="s">
        <v>3</v>
      </c>
      <c r="E56" s="16" t="s">
        <v>4</v>
      </c>
      <c r="F56" s="16" t="s">
        <v>5</v>
      </c>
      <c r="G56" s="16" t="s">
        <v>36</v>
      </c>
      <c r="H56" s="16" t="s">
        <v>37</v>
      </c>
      <c r="I56" s="16" t="s">
        <v>38</v>
      </c>
      <c r="J56" s="16" t="s">
        <v>39</v>
      </c>
      <c r="K56" s="16" t="s">
        <v>40</v>
      </c>
      <c r="L56" s="17" t="s">
        <v>41</v>
      </c>
      <c r="M56" s="17" t="s">
        <v>42</v>
      </c>
      <c r="N56" s="17" t="s">
        <v>43</v>
      </c>
      <c r="O56" s="17" t="s">
        <v>44</v>
      </c>
      <c r="P56" s="17" t="s">
        <v>45</v>
      </c>
      <c r="Q56" s="17" t="s">
        <v>46</v>
      </c>
      <c r="R56" s="17" t="s">
        <v>47</v>
      </c>
      <c r="S56" s="17" t="s">
        <v>48</v>
      </c>
      <c r="T56" s="17" t="s">
        <v>49</v>
      </c>
      <c r="U56" s="17" t="s">
        <v>50</v>
      </c>
      <c r="V56" s="17" t="s">
        <v>51</v>
      </c>
      <c r="W56" s="17" t="s">
        <v>52</v>
      </c>
      <c r="X56" s="17" t="s">
        <v>53</v>
      </c>
      <c r="Y56" s="17" t="s">
        <v>54</v>
      </c>
      <c r="Z56" s="17" t="s">
        <v>55</v>
      </c>
      <c r="AA56" s="16" t="s">
        <v>56</v>
      </c>
      <c r="AB56" s="16" t="s">
        <v>57</v>
      </c>
      <c r="AC56" s="16" t="s">
        <v>58</v>
      </c>
      <c r="AD56" s="16" t="s">
        <v>59</v>
      </c>
      <c r="AE56" s="16" t="s">
        <v>60</v>
      </c>
      <c r="AF56" s="17" t="s">
        <v>61</v>
      </c>
      <c r="AG56" s="17" t="s">
        <v>62</v>
      </c>
      <c r="AH56" s="17" t="s">
        <v>63</v>
      </c>
      <c r="AI56" s="17" t="s">
        <v>64</v>
      </c>
      <c r="AJ56" s="17" t="s">
        <v>65</v>
      </c>
      <c r="AK56" s="16" t="s">
        <v>66</v>
      </c>
      <c r="AL56" s="16" t="s">
        <v>67</v>
      </c>
      <c r="AM56" s="16" t="s">
        <v>68</v>
      </c>
      <c r="AN56" s="16" t="s">
        <v>69</v>
      </c>
      <c r="AO56" s="16" t="s">
        <v>70</v>
      </c>
      <c r="AP56" s="16" t="s">
        <v>71</v>
      </c>
      <c r="AQ56" s="16" t="s">
        <v>72</v>
      </c>
      <c r="AR56" s="16" t="s">
        <v>73</v>
      </c>
      <c r="AS56" s="16" t="s">
        <v>74</v>
      </c>
      <c r="AT56" s="16" t="s">
        <v>75</v>
      </c>
      <c r="AU56" s="17" t="s">
        <v>76</v>
      </c>
      <c r="AV56" s="17" t="s">
        <v>77</v>
      </c>
    </row>
    <row r="57" spans="1:48" x14ac:dyDescent="0.25">
      <c r="A57" t="s">
        <v>82</v>
      </c>
      <c r="B57" s="15">
        <f t="shared" ref="B57:AV57" si="4">B17+B10</f>
        <v>11875.55</v>
      </c>
      <c r="C57" s="15">
        <f t="shared" si="4"/>
        <v>13423.65</v>
      </c>
      <c r="D57" s="15">
        <f t="shared" si="4"/>
        <v>13388.48</v>
      </c>
      <c r="E57" s="15">
        <f t="shared" si="4"/>
        <v>13902.460000000001</v>
      </c>
      <c r="F57" s="15">
        <f t="shared" si="4"/>
        <v>11870.12</v>
      </c>
      <c r="G57" s="15">
        <f t="shared" si="4"/>
        <v>11692.230000000001</v>
      </c>
      <c r="H57" s="15">
        <f t="shared" si="4"/>
        <v>11465.380000000001</v>
      </c>
      <c r="I57" s="15">
        <f t="shared" si="4"/>
        <v>10256.349999999999</v>
      </c>
      <c r="J57" s="15">
        <f t="shared" si="4"/>
        <v>9566.6200000000008</v>
      </c>
      <c r="K57" s="15">
        <f t="shared" si="4"/>
        <v>9679.56</v>
      </c>
      <c r="L57" s="15">
        <f t="shared" si="4"/>
        <v>9974.41</v>
      </c>
      <c r="M57" s="15">
        <f t="shared" si="4"/>
        <v>10459</v>
      </c>
      <c r="N57" s="15">
        <f t="shared" si="4"/>
        <v>10971.25</v>
      </c>
      <c r="O57" s="15">
        <f t="shared" si="4"/>
        <v>7086.17</v>
      </c>
      <c r="P57" s="15">
        <f t="shared" si="4"/>
        <v>7743.2</v>
      </c>
      <c r="Q57" s="15">
        <f t="shared" si="4"/>
        <v>6790.89</v>
      </c>
      <c r="R57" s="15">
        <f t="shared" si="4"/>
        <v>6564.4600000000009</v>
      </c>
      <c r="S57" s="15">
        <f t="shared" si="4"/>
        <v>5526.33</v>
      </c>
      <c r="T57" s="15">
        <f t="shared" si="4"/>
        <v>7205.08</v>
      </c>
      <c r="U57" s="15">
        <f t="shared" si="4"/>
        <v>5948.7999999999993</v>
      </c>
      <c r="V57" s="15">
        <f t="shared" si="4"/>
        <v>6608.2000000000007</v>
      </c>
      <c r="W57" s="15">
        <f t="shared" si="4"/>
        <v>7406.59</v>
      </c>
      <c r="X57" s="15">
        <f t="shared" si="4"/>
        <v>7479.4400000000005</v>
      </c>
      <c r="Y57" s="15">
        <f t="shared" si="4"/>
        <v>7724.09</v>
      </c>
      <c r="Z57" s="15">
        <f t="shared" si="4"/>
        <v>6709.8899999999994</v>
      </c>
      <c r="AA57" s="15">
        <f t="shared" si="4"/>
        <v>7040.75</v>
      </c>
      <c r="AB57" s="15">
        <f t="shared" si="4"/>
        <v>7159.01</v>
      </c>
      <c r="AC57" s="15">
        <f t="shared" si="4"/>
        <v>6236.79</v>
      </c>
      <c r="AD57" s="15">
        <f t="shared" si="4"/>
        <v>5396.5499999999993</v>
      </c>
      <c r="AE57" s="15">
        <f t="shared" si="4"/>
        <v>6426.76</v>
      </c>
      <c r="AF57" s="15">
        <f t="shared" si="4"/>
        <v>6727.92</v>
      </c>
      <c r="AG57" s="15">
        <f t="shared" si="4"/>
        <v>5541.4299999999994</v>
      </c>
      <c r="AH57" s="15">
        <f t="shared" si="4"/>
        <v>4971.7</v>
      </c>
      <c r="AI57" s="15">
        <f t="shared" si="4"/>
        <v>4736.3499999999995</v>
      </c>
      <c r="AJ57" s="15">
        <f t="shared" si="4"/>
        <v>5356.37</v>
      </c>
      <c r="AK57" s="15">
        <f t="shared" si="4"/>
        <v>4348.3999999999996</v>
      </c>
      <c r="AL57" s="15">
        <f t="shared" si="4"/>
        <v>4099.95</v>
      </c>
      <c r="AM57" s="15">
        <f t="shared" si="4"/>
        <v>4306.18</v>
      </c>
      <c r="AN57" s="15">
        <f t="shared" si="4"/>
        <v>4831.2299999999996</v>
      </c>
      <c r="AO57" s="15">
        <f t="shared" si="4"/>
        <v>4101.47</v>
      </c>
      <c r="AP57" s="15">
        <f t="shared" si="4"/>
        <v>4419.6900000000005</v>
      </c>
      <c r="AQ57" s="15">
        <f t="shared" si="4"/>
        <v>4202.67</v>
      </c>
      <c r="AR57" s="15">
        <f t="shared" si="4"/>
        <v>4371.13</v>
      </c>
      <c r="AS57" s="15">
        <f t="shared" si="4"/>
        <v>4253.62</v>
      </c>
      <c r="AT57" s="15">
        <f t="shared" si="4"/>
        <v>3980.22</v>
      </c>
      <c r="AU57" s="15">
        <f t="shared" si="4"/>
        <v>3849.3900000000003</v>
      </c>
      <c r="AV57" s="15">
        <f t="shared" si="4"/>
        <v>3792.44</v>
      </c>
    </row>
    <row r="58" spans="1:48" ht="15.75" thickBot="1" x14ac:dyDescent="0.3">
      <c r="A58" s="1" t="s">
        <v>6</v>
      </c>
      <c r="B58" s="13">
        <v>32399.48</v>
      </c>
      <c r="C58" s="13">
        <v>32959.660000000003</v>
      </c>
      <c r="D58" s="13">
        <v>36066.589999999997</v>
      </c>
      <c r="E58" s="13">
        <v>34199.01</v>
      </c>
      <c r="F58" s="13">
        <v>32793.589999999997</v>
      </c>
      <c r="G58" s="13">
        <v>32341.62</v>
      </c>
      <c r="H58" s="13">
        <v>33798.07</v>
      </c>
      <c r="I58" s="13">
        <v>30465.29</v>
      </c>
      <c r="J58" s="13">
        <v>31860.83</v>
      </c>
      <c r="K58" s="13">
        <v>32021.09</v>
      </c>
      <c r="L58" s="13">
        <v>36680.93</v>
      </c>
      <c r="M58" s="13">
        <v>31964.25</v>
      </c>
      <c r="N58" s="13">
        <v>32582.27</v>
      </c>
      <c r="O58" s="13">
        <v>20798.310000000001</v>
      </c>
      <c r="P58" s="13">
        <v>20817.72</v>
      </c>
      <c r="Q58" s="13">
        <v>17669.53</v>
      </c>
      <c r="R58" s="13">
        <v>16361.98</v>
      </c>
      <c r="S58" s="13">
        <v>9338.7800000000007</v>
      </c>
      <c r="T58" s="13">
        <v>14211.43</v>
      </c>
      <c r="U58" s="13">
        <v>14817.34</v>
      </c>
      <c r="V58" s="13">
        <v>14486.58</v>
      </c>
      <c r="W58" s="13">
        <v>15812.75</v>
      </c>
      <c r="X58" s="13">
        <v>18498.07</v>
      </c>
      <c r="Y58" s="13">
        <v>16691.22</v>
      </c>
      <c r="Z58" s="13">
        <v>17579.75</v>
      </c>
      <c r="AA58" s="13">
        <v>16154.32</v>
      </c>
      <c r="AB58" s="13">
        <v>15946.2</v>
      </c>
      <c r="AC58" s="13">
        <v>15309.94</v>
      </c>
      <c r="AD58" s="13">
        <v>13910.36</v>
      </c>
      <c r="AE58" s="13">
        <v>12835.63</v>
      </c>
      <c r="AF58" s="13">
        <v>15218.46</v>
      </c>
      <c r="AG58" s="13">
        <v>12497.6</v>
      </c>
      <c r="AH58" s="13">
        <v>10522.69</v>
      </c>
      <c r="AI58" s="13">
        <v>9058.24</v>
      </c>
      <c r="AJ58" s="13">
        <v>10458.549999999999</v>
      </c>
      <c r="AK58" s="13">
        <v>8953.6</v>
      </c>
      <c r="AL58" s="13">
        <v>9462.9500000000007</v>
      </c>
      <c r="AM58" s="13">
        <v>8986.7800000000007</v>
      </c>
      <c r="AN58" s="13">
        <v>10522.68</v>
      </c>
      <c r="AO58" s="13">
        <v>9820.7000000000007</v>
      </c>
      <c r="AP58" s="13">
        <v>10700.98</v>
      </c>
      <c r="AQ58" s="13">
        <v>10377.73</v>
      </c>
      <c r="AR58" s="13">
        <v>12041.92</v>
      </c>
      <c r="AS58" s="13">
        <v>10040.370000000001</v>
      </c>
      <c r="AT58" s="13">
        <v>9825.9500000000007</v>
      </c>
      <c r="AU58" s="13">
        <v>9363</v>
      </c>
      <c r="AV58" s="13">
        <v>10602.88</v>
      </c>
    </row>
    <row r="59" spans="1:48" ht="15.75" x14ac:dyDescent="0.25">
      <c r="A59" s="5" t="s">
        <v>83</v>
      </c>
      <c r="B59" s="20">
        <f>B57/B58</f>
        <v>0.36653520365141662</v>
      </c>
      <c r="C59" s="20">
        <f t="shared" ref="C59:AV59" si="5">C57/C58</f>
        <v>0.40727513572652141</v>
      </c>
      <c r="D59" s="20">
        <f t="shared" si="5"/>
        <v>0.37121557652109616</v>
      </c>
      <c r="E59" s="20">
        <f t="shared" si="5"/>
        <v>0.40651644594390307</v>
      </c>
      <c r="F59" s="20">
        <f t="shared" si="5"/>
        <v>0.36196464004093487</v>
      </c>
      <c r="G59" s="20">
        <f t="shared" si="5"/>
        <v>0.36152270665476877</v>
      </c>
      <c r="H59" s="20">
        <f t="shared" si="5"/>
        <v>0.33923179637180467</v>
      </c>
      <c r="I59" s="20">
        <f t="shared" si="5"/>
        <v>0.33665689707860974</v>
      </c>
      <c r="J59" s="20">
        <f t="shared" si="5"/>
        <v>0.30026273640705531</v>
      </c>
      <c r="K59" s="20">
        <f t="shared" si="5"/>
        <v>0.3022870239582725</v>
      </c>
      <c r="L59" s="20">
        <f t="shared" si="5"/>
        <v>0.27192358536165795</v>
      </c>
      <c r="M59" s="20">
        <f t="shared" si="5"/>
        <v>0.32720930414447391</v>
      </c>
      <c r="N59" s="20">
        <f t="shared" si="5"/>
        <v>0.33672454374725885</v>
      </c>
      <c r="O59" s="20">
        <f t="shared" si="5"/>
        <v>0.34070893260077378</v>
      </c>
      <c r="P59" s="20">
        <f t="shared" si="5"/>
        <v>0.37195235597366089</v>
      </c>
      <c r="Q59" s="20">
        <f t="shared" si="5"/>
        <v>0.38432770990513049</v>
      </c>
      <c r="R59" s="20">
        <f t="shared" si="5"/>
        <v>0.40120205500801254</v>
      </c>
      <c r="S59" s="20">
        <f t="shared" si="5"/>
        <v>0.59176145063916263</v>
      </c>
      <c r="T59" s="20">
        <f t="shared" si="5"/>
        <v>0.50699190721834464</v>
      </c>
      <c r="U59" s="20">
        <f t="shared" si="5"/>
        <v>0.40147556848935095</v>
      </c>
      <c r="V59" s="20">
        <f t="shared" si="5"/>
        <v>0.45616011508582432</v>
      </c>
      <c r="W59" s="20">
        <f t="shared" si="5"/>
        <v>0.46839354318508797</v>
      </c>
      <c r="X59" s="20">
        <f t="shared" si="5"/>
        <v>0.40433623615869119</v>
      </c>
      <c r="Y59" s="20">
        <f t="shared" si="5"/>
        <v>0.46276365658112467</v>
      </c>
      <c r="Z59" s="20">
        <f t="shared" si="5"/>
        <v>0.38168290220281853</v>
      </c>
      <c r="AA59" s="20">
        <f t="shared" si="5"/>
        <v>0.43584316764803471</v>
      </c>
      <c r="AB59" s="20">
        <f t="shared" si="5"/>
        <v>0.44894771168052577</v>
      </c>
      <c r="AC59" s="20">
        <f t="shared" si="5"/>
        <v>0.40736867682041861</v>
      </c>
      <c r="AD59" s="20">
        <f t="shared" si="5"/>
        <v>0.38795185746450839</v>
      </c>
      <c r="AE59" s="20">
        <f t="shared" si="5"/>
        <v>0.50069688827116399</v>
      </c>
      <c r="AF59" s="20">
        <f t="shared" si="5"/>
        <v>0.44208940983516076</v>
      </c>
      <c r="AG59" s="20">
        <f t="shared" si="5"/>
        <v>0.44339953271028032</v>
      </c>
      <c r="AH59" s="20">
        <f t="shared" si="5"/>
        <v>0.47247424375326075</v>
      </c>
      <c r="AI59" s="20">
        <f t="shared" si="5"/>
        <v>0.52287751262938487</v>
      </c>
      <c r="AJ59" s="20">
        <f t="shared" si="5"/>
        <v>0.51215225820022858</v>
      </c>
      <c r="AK59" s="20">
        <f t="shared" si="5"/>
        <v>0.4856593995711222</v>
      </c>
      <c r="AL59" s="20">
        <f t="shared" si="5"/>
        <v>0.43326341151543646</v>
      </c>
      <c r="AM59" s="20">
        <f t="shared" si="5"/>
        <v>0.4791682894206824</v>
      </c>
      <c r="AN59" s="20">
        <f t="shared" si="5"/>
        <v>0.45912543192418653</v>
      </c>
      <c r="AO59" s="20">
        <f t="shared" si="5"/>
        <v>0.41763519912022562</v>
      </c>
      <c r="AP59" s="20">
        <f t="shared" si="5"/>
        <v>0.41301731243306694</v>
      </c>
      <c r="AQ59" s="20">
        <f t="shared" si="5"/>
        <v>0.40497006570801131</v>
      </c>
      <c r="AR59" s="20">
        <f t="shared" si="5"/>
        <v>0.3629927785602296</v>
      </c>
      <c r="AS59" s="20">
        <f t="shared" si="5"/>
        <v>0.4236517180143759</v>
      </c>
      <c r="AT59" s="20">
        <f t="shared" si="5"/>
        <v>0.40507228308713145</v>
      </c>
      <c r="AU59" s="20">
        <f t="shared" si="5"/>
        <v>0.41112784363985905</v>
      </c>
      <c r="AV59" s="20">
        <f t="shared" si="5"/>
        <v>0.35768017746121811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4F30-C3D9-46F5-B370-CB69DB207545}">
  <dimension ref="A1"/>
  <sheetViews>
    <sheetView showGridLines="0" zoomScale="88" zoomScaleNormal="88" workbookViewId="0">
      <selection activeCell="AH18" sqref="AH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4D86-AEAF-4449-B14D-30835A1BFAD2}">
  <dimension ref="A1"/>
  <sheetViews>
    <sheetView showGridLines="0" zoomScale="88" zoomScaleNormal="88" workbookViewId="0">
      <selection activeCell="AD39" sqref="AD3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90F7-1BDF-4F54-BC08-E0DA26F95A22}">
  <dimension ref="A1"/>
  <sheetViews>
    <sheetView showGridLines="0" zoomScale="88" zoomScaleNormal="88" workbookViewId="0">
      <selection activeCell="AE32" sqref="AE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4F0E-4087-4D36-B062-043B3EB840A4}">
  <dimension ref="A1"/>
  <sheetViews>
    <sheetView showGridLines="0" zoomScale="88" zoomScaleNormal="88" workbookViewId="0">
      <selection activeCell="A16" sqref="A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9E5F-7106-4CAA-A787-0E673C12FD9D}">
  <dimension ref="A1"/>
  <sheetViews>
    <sheetView showGridLines="0" zoomScale="88" zoomScaleNormal="88" workbookViewId="0">
      <selection activeCell="Z41" sqref="Z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Tata Steel</vt:lpstr>
      <vt:lpstr>Sales Growth</vt:lpstr>
      <vt:lpstr>Profit Margin</vt:lpstr>
      <vt:lpstr>Depreciation </vt:lpstr>
      <vt:lpstr>Interest</vt:lpstr>
      <vt:lpstr>Operational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bhatia</dc:creator>
  <cp:lastModifiedBy>ujjwal bhatia</cp:lastModifiedBy>
  <dcterms:created xsi:type="dcterms:W3CDTF">2024-11-10T22:10:22Z</dcterms:created>
  <dcterms:modified xsi:type="dcterms:W3CDTF">2025-05-03T00:45:12Z</dcterms:modified>
</cp:coreProperties>
</file>